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EX\Desktop\Apoorva\Gitam\BA\"/>
    </mc:Choice>
  </mc:AlternateContent>
  <xr:revisionPtr revIDLastSave="0" documentId="8_{EDB1507B-3575-465B-9D7D-C50A051DF080}" xr6:coauthVersionLast="47" xr6:coauthVersionMax="47" xr10:uidLastSave="{00000000-0000-0000-0000-000000000000}"/>
  <bookViews>
    <workbookView xWindow="-108" yWindow="-108" windowWidth="23256" windowHeight="12456" xr2:uid="{EE6D6FBC-4C9A-4949-979A-89EA30946F33}"/>
  </bookViews>
  <sheets>
    <sheet name="Interpretation" sheetId="7" r:id="rId1"/>
    <sheet name="Analysis" sheetId="6" r:id="rId2"/>
    <sheet name="Data Moldel" sheetId="2" r:id="rId3"/>
    <sheet name="Daily Demand Forecasting Orders" sheetId="1" r:id="rId4"/>
  </sheets>
  <calcPr calcId="191029"/>
</workbook>
</file>

<file path=xl/calcChain.xml><?xml version="1.0" encoding="utf-8"?>
<calcChain xmlns="http://schemas.openxmlformats.org/spreadsheetml/2006/main">
  <c r="N3" i="2" l="1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Q13" i="2" s="1"/>
  <c r="R13" i="2" s="1"/>
  <c r="N14" i="2"/>
  <c r="Q14" i="2" s="1"/>
  <c r="R14" i="2" s="1"/>
  <c r="N15" i="2"/>
  <c r="Q15" i="2" s="1"/>
  <c r="R15" i="2" s="1"/>
  <c r="N16" i="2"/>
  <c r="Q16" i="2" s="1"/>
  <c r="R16" i="2" s="1"/>
  <c r="N17" i="2"/>
  <c r="Q17" i="2" s="1"/>
  <c r="R17" i="2" s="1"/>
  <c r="N18" i="2"/>
  <c r="Q18" i="2" s="1"/>
  <c r="R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Q29" i="2" s="1"/>
  <c r="R29" i="2" s="1"/>
  <c r="N30" i="2"/>
  <c r="Q30" i="2" s="1"/>
  <c r="R30" i="2" s="1"/>
  <c r="N31" i="2"/>
  <c r="Q31" i="2" s="1"/>
  <c r="R31" i="2" s="1"/>
  <c r="N32" i="2"/>
  <c r="Q32" i="2" s="1"/>
  <c r="R32" i="2" s="1"/>
  <c r="N33" i="2"/>
  <c r="Q33" i="2" s="1"/>
  <c r="R33" i="2" s="1"/>
  <c r="N34" i="2"/>
  <c r="Q34" i="2" s="1"/>
  <c r="R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Q45" i="2" s="1"/>
  <c r="R45" i="2" s="1"/>
  <c r="N46" i="2"/>
  <c r="Q46" i="2" s="1"/>
  <c r="R46" i="2" s="1"/>
  <c r="N47" i="2"/>
  <c r="Q47" i="2" s="1"/>
  <c r="R47" i="2" s="1"/>
  <c r="N48" i="2"/>
  <c r="Q48" i="2" s="1"/>
  <c r="R48" i="2" s="1"/>
  <c r="N49" i="2"/>
  <c r="Q49" i="2" s="1"/>
  <c r="R49" i="2" s="1"/>
  <c r="N50" i="2"/>
  <c r="Q50" i="2" s="1"/>
  <c r="R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Q56" i="2" s="1"/>
  <c r="R56" i="2" s="1"/>
  <c r="N57" i="2"/>
  <c r="Q57" i="2" s="1"/>
  <c r="R57" i="2" s="1"/>
  <c r="S57" i="2" s="1"/>
  <c r="N58" i="2"/>
  <c r="Q58" i="2" s="1"/>
  <c r="R58" i="2" s="1"/>
  <c r="N59" i="2"/>
  <c r="Q59" i="2" s="1"/>
  <c r="R59" i="2" s="1"/>
  <c r="S59" i="2" s="1"/>
  <c r="N60" i="2"/>
  <c r="Q60" i="2" s="1"/>
  <c r="R60" i="2" s="1"/>
  <c r="N61" i="2"/>
  <c r="Q61" i="2" s="1"/>
  <c r="R61" i="2" s="1"/>
  <c r="S61" i="2" s="1"/>
  <c r="N2" i="2"/>
  <c r="Q2" i="2" s="1"/>
  <c r="R2" i="2" s="1"/>
  <c r="S56" i="2" l="1"/>
  <c r="S60" i="2"/>
  <c r="S58" i="2"/>
  <c r="P54" i="2"/>
  <c r="O50" i="2"/>
  <c r="O34" i="2"/>
  <c r="O18" i="2"/>
  <c r="Q44" i="2"/>
  <c r="R44" i="2" s="1"/>
  <c r="Q28" i="2"/>
  <c r="R28" i="2" s="1"/>
  <c r="Q12" i="2"/>
  <c r="R12" i="2" s="1"/>
  <c r="Q55" i="2"/>
  <c r="R55" i="2" s="1"/>
  <c r="S55" i="2" s="1"/>
  <c r="O49" i="2"/>
  <c r="O33" i="2"/>
  <c r="O17" i="2"/>
  <c r="Q43" i="2"/>
  <c r="R43" i="2" s="1"/>
  <c r="Q27" i="2"/>
  <c r="R27" i="2" s="1"/>
  <c r="Q11" i="2"/>
  <c r="R11" i="2" s="1"/>
  <c r="Q54" i="2"/>
  <c r="R54" i="2" s="1"/>
  <c r="O48" i="2"/>
  <c r="O32" i="2"/>
  <c r="O16" i="2"/>
  <c r="Q42" i="2"/>
  <c r="R42" i="2" s="1"/>
  <c r="Q26" i="2"/>
  <c r="R26" i="2" s="1"/>
  <c r="Q10" i="2"/>
  <c r="R10" i="2" s="1"/>
  <c r="Q53" i="2"/>
  <c r="R53" i="2" s="1"/>
  <c r="O47" i="2"/>
  <c r="P47" i="2" s="1"/>
  <c r="O31" i="2"/>
  <c r="P31" i="2" s="1"/>
  <c r="O15" i="2"/>
  <c r="Q41" i="2"/>
  <c r="R41" i="2" s="1"/>
  <c r="Q25" i="2"/>
  <c r="R25" i="2" s="1"/>
  <c r="Q9" i="2"/>
  <c r="R9" i="2" s="1"/>
  <c r="Q52" i="2"/>
  <c r="R52" i="2" s="1"/>
  <c r="O2" i="2"/>
  <c r="O46" i="2"/>
  <c r="O30" i="2"/>
  <c r="O14" i="2"/>
  <c r="P5" i="2" s="1"/>
  <c r="Q40" i="2"/>
  <c r="R40" i="2" s="1"/>
  <c r="Q24" i="2"/>
  <c r="R24" i="2" s="1"/>
  <c r="Q8" i="2"/>
  <c r="R8" i="2" s="1"/>
  <c r="Q51" i="2"/>
  <c r="R51" i="2" s="1"/>
  <c r="O61" i="2"/>
  <c r="P61" i="2" s="1"/>
  <c r="O45" i="2"/>
  <c r="P45" i="2" s="1"/>
  <c r="O29" i="2"/>
  <c r="P29" i="2" s="1"/>
  <c r="O13" i="2"/>
  <c r="Q39" i="2"/>
  <c r="R39" i="2" s="1"/>
  <c r="Q23" i="2"/>
  <c r="R23" i="2" s="1"/>
  <c r="Q7" i="2"/>
  <c r="R7" i="2" s="1"/>
  <c r="O60" i="2"/>
  <c r="Q38" i="2"/>
  <c r="R38" i="2" s="1"/>
  <c r="Q22" i="2"/>
  <c r="R22" i="2" s="1"/>
  <c r="Q6" i="2"/>
  <c r="R6" i="2" s="1"/>
  <c r="O59" i="2"/>
  <c r="Q37" i="2"/>
  <c r="R37" i="2" s="1"/>
  <c r="Q21" i="2"/>
  <c r="R21" i="2" s="1"/>
  <c r="Q5" i="2"/>
  <c r="R5" i="2" s="1"/>
  <c r="O58" i="2"/>
  <c r="P55" i="2" s="1"/>
  <c r="Q36" i="2"/>
  <c r="R36" i="2" s="1"/>
  <c r="S34" i="2" s="1"/>
  <c r="Q20" i="2"/>
  <c r="R20" i="2" s="1"/>
  <c r="S20" i="2" s="1"/>
  <c r="Q4" i="2"/>
  <c r="R4" i="2" s="1"/>
  <c r="S4" i="2" s="1"/>
  <c r="O57" i="2"/>
  <c r="Q35" i="2"/>
  <c r="R35" i="2" s="1"/>
  <c r="Q19" i="2"/>
  <c r="R19" i="2" s="1"/>
  <c r="Q3" i="2"/>
  <c r="R3" i="2" s="1"/>
  <c r="O56" i="2"/>
  <c r="S12" i="2" l="1"/>
  <c r="P44" i="2"/>
  <c r="S5" i="2"/>
  <c r="S13" i="2"/>
  <c r="S16" i="2"/>
  <c r="S8" i="2"/>
  <c r="S29" i="2"/>
  <c r="P40" i="2"/>
  <c r="P20" i="2"/>
  <c r="S15" i="2"/>
  <c r="S51" i="2"/>
  <c r="S26" i="2"/>
  <c r="P34" i="2"/>
  <c r="S54" i="2"/>
  <c r="P12" i="2"/>
  <c r="S28" i="2"/>
  <c r="S37" i="2"/>
  <c r="P28" i="2"/>
  <c r="P58" i="2"/>
  <c r="S21" i="2"/>
  <c r="S49" i="2"/>
  <c r="S50" i="2"/>
  <c r="P23" i="2"/>
  <c r="P39" i="2"/>
  <c r="P24" i="2"/>
  <c r="S24" i="2"/>
  <c r="P50" i="2"/>
  <c r="P59" i="2"/>
  <c r="P3" i="2"/>
  <c r="S6" i="2"/>
  <c r="S46" i="2"/>
  <c r="P46" i="2"/>
  <c r="S2" i="2"/>
  <c r="S38" i="2"/>
  <c r="P43" i="2"/>
  <c r="P51" i="2"/>
  <c r="S52" i="2"/>
  <c r="S47" i="2"/>
  <c r="S36" i="2"/>
  <c r="S10" i="2"/>
  <c r="S17" i="2"/>
  <c r="S33" i="2"/>
  <c r="S40" i="2"/>
  <c r="S14" i="2"/>
  <c r="P32" i="2"/>
  <c r="P8" i="2"/>
  <c r="P48" i="2"/>
  <c r="S22" i="2"/>
  <c r="P25" i="2"/>
  <c r="P2" i="2"/>
  <c r="P10" i="2"/>
  <c r="P60" i="2"/>
  <c r="S43" i="2"/>
  <c r="S45" i="2"/>
  <c r="S53" i="2"/>
  <c r="S44" i="2"/>
  <c r="P18" i="2"/>
  <c r="S42" i="2"/>
  <c r="P16" i="2"/>
  <c r="P7" i="2"/>
  <c r="P14" i="2"/>
  <c r="S30" i="2"/>
  <c r="P30" i="2"/>
  <c r="P9" i="2"/>
  <c r="P19" i="2"/>
  <c r="P4" i="2"/>
  <c r="P35" i="2"/>
  <c r="S11" i="2"/>
  <c r="S31" i="2"/>
  <c r="P56" i="2"/>
  <c r="S27" i="2"/>
  <c r="P26" i="2"/>
  <c r="P36" i="2"/>
  <c r="S3" i="2"/>
  <c r="S7" i="2"/>
  <c r="S9" i="2"/>
  <c r="P37" i="2"/>
  <c r="P42" i="2"/>
  <c r="S32" i="2"/>
  <c r="P52" i="2"/>
  <c r="S19" i="2"/>
  <c r="S23" i="2"/>
  <c r="S25" i="2"/>
  <c r="P17" i="2"/>
  <c r="P6" i="2"/>
  <c r="S48" i="2"/>
  <c r="P53" i="2"/>
  <c r="S35" i="2"/>
  <c r="S39" i="2"/>
  <c r="S41" i="2"/>
  <c r="P33" i="2"/>
  <c r="P22" i="2"/>
  <c r="P27" i="2"/>
  <c r="P21" i="2"/>
  <c r="P41" i="2"/>
  <c r="P57" i="2"/>
  <c r="P13" i="2"/>
  <c r="P15" i="2"/>
  <c r="P49" i="2"/>
  <c r="P38" i="2"/>
  <c r="P11" i="2"/>
  <c r="S18" i="2"/>
</calcChain>
</file>

<file path=xl/sharedStrings.xml><?xml version="1.0" encoding="utf-8"?>
<sst xmlns="http://schemas.openxmlformats.org/spreadsheetml/2006/main" count="69" uniqueCount="44">
  <si>
    <t>Week of the month (first week, second, third, fourth or fifth week</t>
  </si>
  <si>
    <t>Day of the week (Monday to Friday)</t>
  </si>
  <si>
    <t>Non-urgent order</t>
  </si>
  <si>
    <t>Urgent order</t>
  </si>
  <si>
    <t>Order type A</t>
  </si>
  <si>
    <t>Order type B</t>
  </si>
  <si>
    <t>Order type C</t>
  </si>
  <si>
    <t>Fiscal sector orders</t>
  </si>
  <si>
    <t>Orders from the traffic controller sector</t>
  </si>
  <si>
    <t>Banking orders (1)</t>
  </si>
  <si>
    <t>Banking orders (2)</t>
  </si>
  <si>
    <t>Banking orders (3)</t>
  </si>
  <si>
    <t>Target (Total orders)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</si>
  <si>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</si>
  <si>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</si>
  <si>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</si>
  <si>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</si>
  <si>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</si>
  <si>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</si>
  <si>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</si>
  <si>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</si>
  <si>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</si>
  <si>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</si>
  <si>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</si>
  <si>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</si>
  <si>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</si>
  <si>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</si>
  <si>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</si>
  <si>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</si>
  <si>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</si>
  <si>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</si>
  <si>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</si>
  <si>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</si>
  <si>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</si>
  <si>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</si>
  <si>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</si>
  <si>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</si>
  <si>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 Orders</t>
  </si>
  <si>
    <t>Absolute Error</t>
  </si>
  <si>
    <t>Mean Absolute Error</t>
  </si>
  <si>
    <t>Error</t>
  </si>
  <si>
    <t>Error Square</t>
  </si>
  <si>
    <t>RMSE</t>
  </si>
  <si>
    <r>
      <rPr>
        <b/>
        <sz val="12"/>
        <color theme="1"/>
        <rFont val="Calibri"/>
        <family val="2"/>
        <scheme val="minor"/>
      </rPr>
      <t>Input Variables:</t>
    </r>
    <r>
      <rPr>
        <sz val="12"/>
        <color theme="1"/>
        <rFont val="Calibri"/>
        <family val="2"/>
        <scheme val="minor"/>
      </rPr>
      <t xml:space="preserve">
1. Week of the month
2. Day of the week
3. Non-urgent orders
4. Urgent orders
5. Order type A, B, C
6. Fiscal sector orders
7. Traffic controller sector orders
8. Banking orders (1–3)
</t>
    </r>
    <r>
      <rPr>
        <b/>
        <sz val="12"/>
        <color theme="1"/>
        <rFont val="Calibri"/>
        <family val="2"/>
        <scheme val="minor"/>
      </rPr>
      <t>Output Variable:</t>
    </r>
    <r>
      <rPr>
        <sz val="12"/>
        <color theme="1"/>
        <rFont val="Calibri"/>
        <family val="2"/>
        <scheme val="minor"/>
      </rPr>
      <t xml:space="preserve">
Target (Total orders)
</t>
    </r>
    <r>
      <rPr>
        <b/>
        <sz val="12"/>
        <color theme="1"/>
        <rFont val="Calibri"/>
        <family val="2"/>
        <scheme val="minor"/>
      </rPr>
      <t>Model:</t>
    </r>
    <r>
      <rPr>
        <sz val="12"/>
        <color theme="1"/>
        <rFont val="Calibri"/>
        <family val="2"/>
        <scheme val="minor"/>
      </rPr>
      <t xml:space="preserve">
Multiple Linear Regression using Excel Data Analysis ToolPak
</t>
    </r>
    <r>
      <rPr>
        <b/>
        <sz val="12"/>
        <color theme="1"/>
        <rFont val="Calibri"/>
        <family val="2"/>
        <scheme val="minor"/>
      </rPr>
      <t>Evaluation Metrics:</t>
    </r>
    <r>
      <rPr>
        <sz val="12"/>
        <color theme="1"/>
        <rFont val="Calibri"/>
        <family val="2"/>
        <scheme val="minor"/>
      </rPr>
      <t xml:space="preserve">
1. R²
2. Mean Absolute Error (MAE)
3. Root Mean Square Error (RMSE)
</t>
    </r>
    <r>
      <rPr>
        <b/>
        <sz val="12"/>
        <color theme="1"/>
        <rFont val="Calibri"/>
        <family val="2"/>
        <scheme val="minor"/>
      </rPr>
      <t>Conclusion:</t>
    </r>
    <r>
      <rPr>
        <sz val="12"/>
        <color theme="1"/>
        <rFont val="Calibri"/>
        <family val="2"/>
        <scheme val="minor"/>
      </rPr>
      <t xml:space="preserve">
Overall, the analysis shows that the model performs effectively in estimating total orders, with a relatively small prediction error.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</si>
</sst>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2299-D9C3-49FA-9EE5-00B0AF6CB45E}">
  <dimension ref="A1:N28"/>
  <sheetViews>
    <sheetView tabSelected="1" workbookViewId="0">
      <selection activeCell="Q13" sqref="Q13"/>
    </sheetView>
  </sheetViews>
  <sheetFormatPr defaultRowHeight="14.4" x14ac:dyDescent="0.3"/>
  <sheetData>
    <row r="1" spans="1:14" ht="14.4" customHeight="1" x14ac:dyDescent="0.3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</sheetData>
  <mergeCells count="1">
    <mergeCell ref="A1:N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908-0FF8-45AC-84C9-77CCD5E09905}">
  <dimension ref="A1:K28"/>
  <sheetViews>
    <sheetView workbookViewId="0">
      <selection activeCell="G13" sqref="G13"/>
    </sheetView>
  </sheetViews>
  <sheetFormatPr defaultRowHeight="14.4" x14ac:dyDescent="0.3"/>
  <cols>
    <col min="1" max="1" width="18.77734375" style="1" customWidth="1"/>
    <col min="2" max="5" width="8.88671875" style="1"/>
    <col min="6" max="6" width="13" style="1" customWidth="1"/>
    <col min="7" max="7" width="11.5546875" style="1" customWidth="1"/>
    <col min="8" max="9" width="11.6640625" style="1" customWidth="1"/>
    <col min="10" max="16384" width="8.88671875" style="1"/>
  </cols>
  <sheetData>
    <row r="1" spans="1:11" ht="14.4" customHeight="1" x14ac:dyDescent="0.3">
      <c r="A1" s="1" t="s">
        <v>13</v>
      </c>
      <c r="K1" s="6"/>
    </row>
    <row r="2" spans="1:11" ht="15" thickBot="1" x14ac:dyDescent="0.35"/>
    <row r="3" spans="1:11" x14ac:dyDescent="0.3">
      <c r="A3" s="3" t="s">
        <v>14</v>
      </c>
      <c r="B3" s="3"/>
    </row>
    <row r="4" spans="1:11" x14ac:dyDescent="0.3">
      <c r="A4" s="1" t="s">
        <v>15</v>
      </c>
      <c r="B4" s="1">
        <v>1</v>
      </c>
    </row>
    <row r="5" spans="1:11" x14ac:dyDescent="0.3">
      <c r="A5" s="1" t="s">
        <v>16</v>
      </c>
      <c r="B5" s="1">
        <v>1</v>
      </c>
    </row>
    <row r="6" spans="1:11" x14ac:dyDescent="0.3">
      <c r="A6" s="1" t="s">
        <v>17</v>
      </c>
      <c r="B6" s="1">
        <v>1</v>
      </c>
    </row>
    <row r="7" spans="1:11" x14ac:dyDescent="0.3">
      <c r="A7" s="1" t="s">
        <v>18</v>
      </c>
      <c r="B7" s="1">
        <v>5.4209351506084735E-13</v>
      </c>
    </row>
    <row r="8" spans="1:11" ht="15" thickBot="1" x14ac:dyDescent="0.35">
      <c r="A8" s="4" t="s">
        <v>19</v>
      </c>
      <c r="B8" s="4">
        <v>60</v>
      </c>
    </row>
    <row r="10" spans="1:11" ht="15" thickBot="1" x14ac:dyDescent="0.35">
      <c r="A10" s="1" t="s">
        <v>20</v>
      </c>
    </row>
    <row r="11" spans="1:11" ht="28.8" x14ac:dyDescent="0.3">
      <c r="A11" s="3"/>
      <c r="B11" s="3" t="s">
        <v>25</v>
      </c>
      <c r="C11" s="3" t="s">
        <v>26</v>
      </c>
      <c r="D11" s="3" t="s">
        <v>27</v>
      </c>
      <c r="E11" s="3" t="s">
        <v>28</v>
      </c>
      <c r="F11" s="7" t="s">
        <v>29</v>
      </c>
    </row>
    <row r="12" spans="1:11" x14ac:dyDescent="0.3">
      <c r="A12" s="1" t="s">
        <v>21</v>
      </c>
      <c r="B12" s="1">
        <v>11</v>
      </c>
      <c r="C12" s="1">
        <v>473683.01663698332</v>
      </c>
      <c r="D12" s="1">
        <v>43062.092421543937</v>
      </c>
      <c r="E12" s="1">
        <v>1.4653680048215598E+29</v>
      </c>
      <c r="F12" s="1">
        <v>0</v>
      </c>
    </row>
    <row r="13" spans="1:11" x14ac:dyDescent="0.3">
      <c r="A13" s="1" t="s">
        <v>22</v>
      </c>
      <c r="B13" s="1">
        <v>48</v>
      </c>
      <c r="C13" s="1">
        <v>1.4105538195409204E-23</v>
      </c>
      <c r="D13" s="1">
        <v>2.938653790710251E-25</v>
      </c>
    </row>
    <row r="14" spans="1:11" ht="15" thickBot="1" x14ac:dyDescent="0.35">
      <c r="A14" s="4" t="s">
        <v>23</v>
      </c>
      <c r="B14" s="4">
        <v>59</v>
      </c>
      <c r="C14" s="4">
        <v>473683.01663698332</v>
      </c>
      <c r="D14" s="4"/>
      <c r="E14" s="4"/>
      <c r="F14" s="4"/>
    </row>
    <row r="15" spans="1:11" ht="15" thickBot="1" x14ac:dyDescent="0.35"/>
    <row r="16" spans="1:11" ht="28.8" x14ac:dyDescent="0.3">
      <c r="A16" s="3"/>
      <c r="B16" s="7" t="s">
        <v>30</v>
      </c>
      <c r="C16" s="7" t="s">
        <v>18</v>
      </c>
      <c r="D16" s="3" t="s">
        <v>31</v>
      </c>
      <c r="E16" s="7" t="s">
        <v>32</v>
      </c>
      <c r="F16" s="7" t="s">
        <v>33</v>
      </c>
      <c r="G16" s="7" t="s">
        <v>34</v>
      </c>
      <c r="H16" s="7" t="s">
        <v>35</v>
      </c>
      <c r="I16" s="7" t="s">
        <v>36</v>
      </c>
    </row>
    <row r="17" spans="1:9" x14ac:dyDescent="0.3">
      <c r="A17" s="1" t="s">
        <v>24</v>
      </c>
      <c r="B17" s="1">
        <v>-6.6575390322370187E-13</v>
      </c>
      <c r="C17" s="1">
        <v>6.4050915095483126E-13</v>
      </c>
      <c r="D17" s="1">
        <v>-1.0394135700188472</v>
      </c>
      <c r="E17" s="1">
        <v>0.30382003836468702</v>
      </c>
      <c r="F17" s="1">
        <v>-1.9535838647098712E-12</v>
      </c>
      <c r="G17" s="1">
        <v>6.2207605826246748E-13</v>
      </c>
      <c r="H17" s="1">
        <v>-1.9535838647098712E-12</v>
      </c>
      <c r="I17" s="1">
        <v>6.2207605826246748E-13</v>
      </c>
    </row>
    <row r="18" spans="1:9" ht="28.8" x14ac:dyDescent="0.3">
      <c r="A18" s="2" t="s">
        <v>1</v>
      </c>
      <c r="B18" s="1">
        <v>5.8087672413641473E-14</v>
      </c>
      <c r="C18" s="1">
        <v>7.1185471480251803E-14</v>
      </c>
      <c r="D18" s="1">
        <v>0.81600460326734081</v>
      </c>
      <c r="E18" s="1">
        <v>0.41852863904389737</v>
      </c>
      <c r="F18" s="1">
        <v>-8.5040310782421242E-14</v>
      </c>
      <c r="G18" s="1">
        <v>2.0121565560970419E-13</v>
      </c>
      <c r="H18" s="1">
        <v>-8.5040310782421242E-14</v>
      </c>
      <c r="I18" s="1">
        <v>2.0121565560970419E-13</v>
      </c>
    </row>
    <row r="19" spans="1:9" x14ac:dyDescent="0.3">
      <c r="A19" s="1" t="s">
        <v>2</v>
      </c>
      <c r="B19" s="1">
        <v>1.2601601562432904E-14</v>
      </c>
      <c r="C19" s="1">
        <v>7.5685301092645362E-15</v>
      </c>
      <c r="D19" s="1">
        <v>1.6649998586921722</v>
      </c>
      <c r="E19" s="1">
        <v>0.10242775307256909</v>
      </c>
      <c r="F19" s="1">
        <v>-2.6159481393798952E-15</v>
      </c>
      <c r="G19" s="1">
        <v>2.7819151264245703E-14</v>
      </c>
      <c r="H19" s="1">
        <v>-2.6159481393798952E-15</v>
      </c>
      <c r="I19" s="1">
        <v>2.7819151264245703E-14</v>
      </c>
    </row>
    <row r="20" spans="1:9" x14ac:dyDescent="0.3">
      <c r="A20" s="1" t="s">
        <v>3</v>
      </c>
      <c r="B20" s="1">
        <v>7.4179568640837358E-15</v>
      </c>
      <c r="C20" s="1">
        <v>7.1686755038094673E-15</v>
      </c>
      <c r="D20" s="1">
        <v>1.0347736984526359</v>
      </c>
      <c r="E20" s="1">
        <v>0.3059599455234826</v>
      </c>
      <c r="F20" s="1">
        <v>-6.9956312700049787E-15</v>
      </c>
      <c r="G20" s="1">
        <v>2.1831544998172449E-14</v>
      </c>
      <c r="H20" s="1">
        <v>-6.9956312700049787E-15</v>
      </c>
      <c r="I20" s="1">
        <v>2.1831544998172449E-14</v>
      </c>
    </row>
    <row r="21" spans="1:9" x14ac:dyDescent="0.3">
      <c r="A21" s="1" t="s">
        <v>4</v>
      </c>
      <c r="B21" s="1">
        <v>0.99999999999999145</v>
      </c>
      <c r="C21" s="1">
        <v>7.8250688986888731E-15</v>
      </c>
      <c r="D21" s="1">
        <v>127794401933962.03</v>
      </c>
      <c r="E21" s="1">
        <v>0</v>
      </c>
      <c r="F21" s="1">
        <v>0.99999999999997569</v>
      </c>
      <c r="G21" s="1">
        <v>1.0000000000000071</v>
      </c>
      <c r="H21" s="1">
        <v>0.99999999999997569</v>
      </c>
      <c r="I21" s="1">
        <v>1.0000000000000071</v>
      </c>
    </row>
    <row r="22" spans="1:9" x14ac:dyDescent="0.3">
      <c r="A22" s="1" t="s">
        <v>5</v>
      </c>
      <c r="B22" s="1">
        <v>0.99999999999999223</v>
      </c>
      <c r="C22" s="1">
        <v>3.1157890282397554E-15</v>
      </c>
      <c r="D22" s="1">
        <v>320945991829535.31</v>
      </c>
      <c r="E22" s="1">
        <v>0</v>
      </c>
      <c r="F22" s="1">
        <v>0.99999999999998601</v>
      </c>
      <c r="G22" s="1">
        <v>0.99999999999999845</v>
      </c>
      <c r="H22" s="1">
        <v>0.99999999999998601</v>
      </c>
      <c r="I22" s="1">
        <v>0.99999999999999845</v>
      </c>
    </row>
    <row r="23" spans="1:9" x14ac:dyDescent="0.3">
      <c r="A23" s="1" t="s">
        <v>6</v>
      </c>
      <c r="B23" s="1">
        <v>0.99999999999999634</v>
      </c>
      <c r="C23" s="1">
        <v>6.0021120151217177E-15</v>
      </c>
      <c r="D23" s="1">
        <v>166608020223647.44</v>
      </c>
      <c r="E23" s="1">
        <v>0</v>
      </c>
      <c r="F23" s="1">
        <v>0.99999999999998423</v>
      </c>
      <c r="G23" s="1">
        <v>1.0000000000000084</v>
      </c>
      <c r="H23" s="1">
        <v>0.99999999999998423</v>
      </c>
      <c r="I23" s="1">
        <v>1.0000000000000084</v>
      </c>
    </row>
    <row r="24" spans="1:9" x14ac:dyDescent="0.3">
      <c r="A24" s="2" t="s">
        <v>7</v>
      </c>
      <c r="B24" s="1">
        <v>4.3074761221001792E-16</v>
      </c>
      <c r="C24" s="1">
        <v>4.6537106701480381E-16</v>
      </c>
      <c r="D24" s="1">
        <v>0.92560032786979318</v>
      </c>
      <c r="E24" s="1">
        <v>0.35928413804152326</v>
      </c>
      <c r="F24" s="1">
        <v>-5.0494363032262223E-16</v>
      </c>
      <c r="G24" s="1">
        <v>1.366438854742658E-15</v>
      </c>
      <c r="H24" s="1">
        <v>-5.0494363032262223E-16</v>
      </c>
      <c r="I24" s="1">
        <v>1.366438854742658E-15</v>
      </c>
    </row>
    <row r="25" spans="1:9" ht="43.2" x14ac:dyDescent="0.3">
      <c r="A25" s="2" t="s">
        <v>8</v>
      </c>
      <c r="B25" s="1">
        <v>-2.9241499753316981E-18</v>
      </c>
      <c r="C25" s="1">
        <v>9.6504165338023658E-18</v>
      </c>
      <c r="D25" s="1">
        <v>-0.30300764377261052</v>
      </c>
      <c r="E25" s="1">
        <v>0.76319340201977759</v>
      </c>
      <c r="F25" s="1">
        <v>-2.2327612883746292E-17</v>
      </c>
      <c r="G25" s="1">
        <v>1.6479312933082895E-17</v>
      </c>
      <c r="H25" s="1">
        <v>-2.2327612883746292E-17</v>
      </c>
      <c r="I25" s="1">
        <v>1.6479312933082895E-17</v>
      </c>
    </row>
    <row r="26" spans="1:9" x14ac:dyDescent="0.3">
      <c r="A26" s="1" t="s">
        <v>9</v>
      </c>
      <c r="B26" s="1">
        <v>-5.8914074064645147E-18</v>
      </c>
      <c r="C26" s="1">
        <v>5.6016604202908256E-18</v>
      </c>
      <c r="D26" s="1">
        <v>-1.0517251965371093</v>
      </c>
      <c r="E26" s="1">
        <v>0.29819172577822189</v>
      </c>
      <c r="F26" s="1">
        <v>-1.715430054790921E-17</v>
      </c>
      <c r="G26" s="1">
        <v>5.3714857349801799E-18</v>
      </c>
      <c r="H26" s="1">
        <v>-1.715430054790921E-17</v>
      </c>
      <c r="I26" s="1">
        <v>5.3714857349801799E-18</v>
      </c>
    </row>
    <row r="27" spans="1:9" x14ac:dyDescent="0.3">
      <c r="A27" s="1" t="s">
        <v>10</v>
      </c>
      <c r="B27" s="1">
        <v>-3.7873429423609439E-18</v>
      </c>
      <c r="C27" s="1">
        <v>6.4274538293407854E-18</v>
      </c>
      <c r="D27" s="1">
        <v>-0.58924467493987154</v>
      </c>
      <c r="E27" s="1">
        <v>0.5584604228424187</v>
      </c>
      <c r="F27" s="1">
        <v>-1.6710605014658493E-17</v>
      </c>
      <c r="G27" s="1">
        <v>9.1359191299366039E-18</v>
      </c>
      <c r="H27" s="1">
        <v>-1.6710605014658493E-17</v>
      </c>
      <c r="I27" s="1">
        <v>9.1359191299366039E-18</v>
      </c>
    </row>
    <row r="28" spans="1:9" ht="15" thickBot="1" x14ac:dyDescent="0.35">
      <c r="A28" s="4" t="s">
        <v>11</v>
      </c>
      <c r="B28" s="4">
        <v>-3.5921649421347578E-18</v>
      </c>
      <c r="C28" s="4">
        <v>6.4332510837785469E-18</v>
      </c>
      <c r="D28" s="4">
        <v>-0.55837474635373829</v>
      </c>
      <c r="E28" s="4">
        <v>0.57918400251702962</v>
      </c>
      <c r="F28" s="4">
        <v>-1.6527083175703661E-17</v>
      </c>
      <c r="G28" s="4">
        <v>9.3427532914341435E-18</v>
      </c>
      <c r="H28" s="4">
        <v>-1.6527083175703661E-17</v>
      </c>
      <c r="I28" s="4">
        <v>9.3427532914341435E-18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53EB-0C96-4475-A64B-69151F910E6B}">
  <dimension ref="A1:S61"/>
  <sheetViews>
    <sheetView workbookViewId="0">
      <selection activeCell="E6" sqref="E6"/>
    </sheetView>
  </sheetViews>
  <sheetFormatPr defaultRowHeight="14.4" x14ac:dyDescent="0.3"/>
  <cols>
    <col min="1" max="1" width="18.77734375" style="1" customWidth="1"/>
    <col min="2" max="2" width="11.88671875" style="1" customWidth="1"/>
    <col min="3" max="3" width="14" style="1" customWidth="1"/>
    <col min="4" max="4" width="13.5546875" style="1" customWidth="1"/>
    <col min="5" max="5" width="12.5546875" style="1" customWidth="1"/>
    <col min="6" max="6" width="11.5546875" style="1" customWidth="1"/>
    <col min="7" max="8" width="12.6640625" style="1" customWidth="1"/>
    <col min="9" max="9" width="15" style="1" customWidth="1"/>
    <col min="10" max="10" width="12.21875" style="1" customWidth="1"/>
    <col min="11" max="11" width="12.109375" style="1" customWidth="1"/>
    <col min="12" max="12" width="12" style="1" customWidth="1"/>
    <col min="13" max="13" width="13.33203125" style="1" customWidth="1"/>
    <col min="14" max="14" width="8.88671875" style="1"/>
    <col min="15" max="16" width="12" style="1" bestFit="1" customWidth="1"/>
    <col min="17" max="17" width="12.6640625" style="1" bestFit="1" customWidth="1"/>
    <col min="18" max="18" width="11" style="1" bestFit="1" customWidth="1"/>
    <col min="19" max="19" width="12" style="1" bestFit="1" customWidth="1"/>
    <col min="20" max="16384" width="8.88671875" style="1"/>
  </cols>
  <sheetData>
    <row r="1" spans="1:19" s="2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37</v>
      </c>
      <c r="O1" s="5" t="s">
        <v>38</v>
      </c>
      <c r="P1" s="5" t="s">
        <v>39</v>
      </c>
      <c r="Q1" s="2" t="s">
        <v>40</v>
      </c>
      <c r="R1" s="2" t="s">
        <v>41</v>
      </c>
      <c r="S1" s="5" t="s">
        <v>42</v>
      </c>
    </row>
    <row r="2" spans="1:19" x14ac:dyDescent="0.3">
      <c r="A2" s="1">
        <v>1</v>
      </c>
      <c r="B2" s="1">
        <v>4</v>
      </c>
      <c r="C2" s="1">
        <v>316.30700000000002</v>
      </c>
      <c r="D2" s="1">
        <v>223.27</v>
      </c>
      <c r="E2" s="1">
        <v>61.542999999999999</v>
      </c>
      <c r="F2" s="1">
        <v>175.58599999999899</v>
      </c>
      <c r="G2" s="1">
        <v>302.44799999999998</v>
      </c>
      <c r="H2" s="1">
        <v>0</v>
      </c>
      <c r="I2" s="1">
        <v>65556</v>
      </c>
      <c r="J2" s="1">
        <v>44914</v>
      </c>
      <c r="K2" s="1">
        <v>188411</v>
      </c>
      <c r="L2" s="1">
        <v>14793</v>
      </c>
      <c r="M2" s="1">
        <v>539.577</v>
      </c>
      <c r="N2" s="1">
        <f>-0.000000000000665754
+(0.0000000000000580877*B2)
+(0.0000000000000126016*C2)
+(7.41796E-15*D2)
+(1*E2)
+(1*F2)
+(1*G2)
+(4.30748E-16*H2)
-(2.92415E-18*I2)
-(5.89141E-18*J2)
-(3.78734E-18*K2)
-(3.59216E-18*L2)</f>
        <v>539.57700000000307</v>
      </c>
      <c r="O2" s="1">
        <f>ABS(M2-N2)</f>
        <v>3.0695446184836328E-12</v>
      </c>
      <c r="P2" s="1">
        <f>AVERAGE(O2:O61)</f>
        <v>1.7479351299698465E-12</v>
      </c>
      <c r="Q2" s="1">
        <f>M2-N2</f>
        <v>-3.0695446184836328E-12</v>
      </c>
      <c r="R2" s="1">
        <f>Q2^2</f>
        <v>9.4221041648618309E-24</v>
      </c>
      <c r="S2" s="1">
        <f>SQRT(AVERAGE(R2:R61))</f>
        <v>1.903568610834806E-12</v>
      </c>
    </row>
    <row r="3" spans="1:19" x14ac:dyDescent="0.3">
      <c r="A3" s="1">
        <v>1</v>
      </c>
      <c r="B3" s="1">
        <v>5</v>
      </c>
      <c r="C3" s="1">
        <v>128.63299999999899</v>
      </c>
      <c r="D3" s="1">
        <v>96.042000000000002</v>
      </c>
      <c r="E3" s="1">
        <v>38.058</v>
      </c>
      <c r="F3" s="1">
        <v>56.036999999999999</v>
      </c>
      <c r="G3" s="1">
        <v>130.58000000000001</v>
      </c>
      <c r="H3" s="1">
        <v>0</v>
      </c>
      <c r="I3" s="1">
        <v>40419</v>
      </c>
      <c r="J3" s="1">
        <v>21399</v>
      </c>
      <c r="K3" s="1">
        <v>89461</v>
      </c>
      <c r="L3" s="1">
        <v>7679</v>
      </c>
      <c r="M3" s="1">
        <v>224.67500000000001</v>
      </c>
      <c r="N3" s="1">
        <f t="shared" ref="N3:N61" si="0">-0.000000000000665754
+(0.0000000000000580877*B3)
+(0.0000000000000126016*C3)
+(7.41796E-15*D3)
+(1*E3)
+(1*F3)
+(1*G3)
+(4.30748E-16*H3)
-(2.92415E-18*I3)
-(5.89141E-18*J3)
-(3.78734E-18*K3)
-(3.59216E-18*L3)</f>
        <v>224.67500000000138</v>
      </c>
      <c r="O3" s="1">
        <f t="shared" ref="O3:O61" si="1">ABS(M3-N3)</f>
        <v>1.3642420526593924E-12</v>
      </c>
      <c r="P3" s="1">
        <f t="shared" ref="P3:P61" si="2">AVERAGE(O3:O62)</f>
        <v>1.7255349691475789E-12</v>
      </c>
      <c r="Q3" s="1">
        <f t="shared" ref="Q3:Q61" si="3">M3-N3</f>
        <v>-1.3642420526593924E-12</v>
      </c>
      <c r="R3" s="1">
        <f t="shared" ref="R3:R61" si="4">Q3^2</f>
        <v>1.8611563782443123E-24</v>
      </c>
      <c r="S3" s="1">
        <f t="shared" ref="S3:S61" si="5">SQRT(AVERAGE(R3:R62))</f>
        <v>1.8775764364339622E-12</v>
      </c>
    </row>
    <row r="4" spans="1:19" x14ac:dyDescent="0.3">
      <c r="A4" s="1">
        <v>1</v>
      </c>
      <c r="B4" s="1">
        <v>6</v>
      </c>
      <c r="C4" s="1">
        <v>43.651000000000003</v>
      </c>
      <c r="D4" s="1">
        <v>84.375</v>
      </c>
      <c r="E4" s="1">
        <v>21.826000000000001</v>
      </c>
      <c r="F4" s="1">
        <v>25.125</v>
      </c>
      <c r="G4" s="1">
        <v>82.460999999999999</v>
      </c>
      <c r="H4" s="1">
        <v>1.3859999999999999</v>
      </c>
      <c r="I4" s="1">
        <v>11992</v>
      </c>
      <c r="J4" s="1">
        <v>3452</v>
      </c>
      <c r="K4" s="1">
        <v>21305</v>
      </c>
      <c r="L4" s="1">
        <v>14947</v>
      </c>
      <c r="M4" s="1">
        <v>129.41200000000001</v>
      </c>
      <c r="N4" s="1">
        <f t="shared" si="0"/>
        <v>129.41200000000066</v>
      </c>
      <c r="O4" s="1">
        <f t="shared" si="1"/>
        <v>6.5369931689929217E-13</v>
      </c>
      <c r="P4" s="1">
        <f t="shared" si="2"/>
        <v>1.7317641573628924E-12</v>
      </c>
      <c r="Q4" s="1">
        <f t="shared" si="3"/>
        <v>-6.5369931689929217E-13</v>
      </c>
      <c r="R4" s="1">
        <f t="shared" si="4"/>
        <v>4.2732279691460121E-25</v>
      </c>
      <c r="S4" s="1">
        <f t="shared" si="5"/>
        <v>1.8852016576768022E-12</v>
      </c>
    </row>
    <row r="5" spans="1:19" x14ac:dyDescent="0.3">
      <c r="A5" s="1">
        <v>2</v>
      </c>
      <c r="B5" s="1">
        <v>2</v>
      </c>
      <c r="C5" s="1">
        <v>171.297</v>
      </c>
      <c r="D5" s="1">
        <v>127.667</v>
      </c>
      <c r="E5" s="1">
        <v>41.542000000000002</v>
      </c>
      <c r="F5" s="1">
        <v>113.294</v>
      </c>
      <c r="G5" s="1">
        <v>162.28399999999999</v>
      </c>
      <c r="H5" s="1">
        <v>18.155999999999999</v>
      </c>
      <c r="I5" s="1">
        <v>49971</v>
      </c>
      <c r="J5" s="1">
        <v>33703</v>
      </c>
      <c r="K5" s="1">
        <v>69054</v>
      </c>
      <c r="L5" s="1">
        <v>18423</v>
      </c>
      <c r="M5" s="1">
        <v>317.12</v>
      </c>
      <c r="N5" s="1">
        <f t="shared" si="0"/>
        <v>317.12000000000188</v>
      </c>
      <c r="O5" s="1">
        <f t="shared" si="1"/>
        <v>1.8758328224066645E-12</v>
      </c>
      <c r="P5" s="1">
        <f t="shared" si="2"/>
        <v>1.7506775756166399E-12</v>
      </c>
      <c r="Q5" s="1">
        <f t="shared" si="3"/>
        <v>-1.8758328224066645E-12</v>
      </c>
      <c r="R5" s="1">
        <f t="shared" si="4"/>
        <v>3.5187487776181529E-24</v>
      </c>
      <c r="S5" s="1">
        <f t="shared" si="5"/>
        <v>1.8996944538683353E-12</v>
      </c>
    </row>
    <row r="6" spans="1:19" x14ac:dyDescent="0.3">
      <c r="A6" s="1">
        <v>2</v>
      </c>
      <c r="B6" s="1">
        <v>3</v>
      </c>
      <c r="C6" s="1">
        <v>90.531999999999996</v>
      </c>
      <c r="D6" s="1">
        <v>113.526</v>
      </c>
      <c r="E6" s="1">
        <v>37.679000000000002</v>
      </c>
      <c r="F6" s="1">
        <v>56.618000000000002</v>
      </c>
      <c r="G6" s="1">
        <v>116.22</v>
      </c>
      <c r="H6" s="1">
        <v>6.4589999999999996</v>
      </c>
      <c r="I6" s="1">
        <v>48534</v>
      </c>
      <c r="J6" s="1">
        <v>19646</v>
      </c>
      <c r="K6" s="1">
        <v>16411</v>
      </c>
      <c r="L6" s="1">
        <v>20257</v>
      </c>
      <c r="M6" s="1">
        <v>210.517</v>
      </c>
      <c r="N6" s="1">
        <f t="shared" si="0"/>
        <v>210.5170000000011</v>
      </c>
      <c r="O6" s="1">
        <f t="shared" si="1"/>
        <v>1.1084466677857563E-12</v>
      </c>
      <c r="P6" s="1">
        <f t="shared" si="2"/>
        <v>1.7484426604953895E-12</v>
      </c>
      <c r="Q6" s="1">
        <f t="shared" si="3"/>
        <v>-1.1084466677857563E-12</v>
      </c>
      <c r="R6" s="1">
        <f t="shared" si="4"/>
        <v>1.2286540153253468E-24</v>
      </c>
      <c r="S6" s="1">
        <f t="shared" si="5"/>
        <v>1.9001178311756571E-12</v>
      </c>
    </row>
    <row r="7" spans="1:19" x14ac:dyDescent="0.3">
      <c r="A7" s="1">
        <v>2</v>
      </c>
      <c r="B7" s="1">
        <v>4</v>
      </c>
      <c r="C7" s="1">
        <v>110.925</v>
      </c>
      <c r="D7" s="1">
        <v>96.36</v>
      </c>
      <c r="E7" s="1">
        <v>30.791999999999899</v>
      </c>
      <c r="F7" s="1">
        <v>50.703999999999901</v>
      </c>
      <c r="G7" s="1">
        <v>125.86799999999999</v>
      </c>
      <c r="H7" s="1">
        <v>79</v>
      </c>
      <c r="I7" s="1">
        <v>52042</v>
      </c>
      <c r="J7" s="1">
        <v>8773</v>
      </c>
      <c r="K7" s="1">
        <v>47522</v>
      </c>
      <c r="L7" s="1">
        <v>24966</v>
      </c>
      <c r="M7" s="1">
        <v>207.364</v>
      </c>
      <c r="N7" s="1">
        <f t="shared" si="0"/>
        <v>207.36400000000106</v>
      </c>
      <c r="O7" s="1">
        <f t="shared" si="1"/>
        <v>1.0516032489249483E-12</v>
      </c>
      <c r="P7" s="1">
        <f t="shared" si="2"/>
        <v>1.7600789512719282E-12</v>
      </c>
      <c r="Q7" s="1">
        <f t="shared" si="3"/>
        <v>-1.0516032489249483E-12</v>
      </c>
      <c r="R7" s="1">
        <f t="shared" si="4"/>
        <v>1.1058693931495067E-24</v>
      </c>
      <c r="S7" s="1">
        <f t="shared" si="5"/>
        <v>1.9114792997541265E-12</v>
      </c>
    </row>
    <row r="8" spans="1:19" x14ac:dyDescent="0.3">
      <c r="A8" s="1">
        <v>2</v>
      </c>
      <c r="B8" s="1">
        <v>5</v>
      </c>
      <c r="C8" s="1">
        <v>144.124</v>
      </c>
      <c r="D8" s="1">
        <v>118.919</v>
      </c>
      <c r="E8" s="1">
        <v>43.303999999999903</v>
      </c>
      <c r="F8" s="1">
        <v>66.370999999999995</v>
      </c>
      <c r="G8" s="1">
        <v>153.36799999999999</v>
      </c>
      <c r="H8" s="1">
        <v>0</v>
      </c>
      <c r="I8" s="1">
        <v>46573</v>
      </c>
      <c r="J8" s="1">
        <v>33597</v>
      </c>
      <c r="K8" s="1">
        <v>48269</v>
      </c>
      <c r="L8" s="1">
        <v>20973</v>
      </c>
      <c r="M8" s="1">
        <v>263.04300000000001</v>
      </c>
      <c r="N8" s="1">
        <f t="shared" si="0"/>
        <v>263.04300000000171</v>
      </c>
      <c r="O8" s="1">
        <f t="shared" si="1"/>
        <v>1.7053025658242404E-12</v>
      </c>
      <c r="P8" s="1">
        <f t="shared" si="2"/>
        <v>1.773198871685761E-12</v>
      </c>
      <c r="Q8" s="1">
        <f t="shared" si="3"/>
        <v>-1.7053025658242404E-12</v>
      </c>
      <c r="R8" s="1">
        <f t="shared" si="4"/>
        <v>2.9080568410067379E-24</v>
      </c>
      <c r="S8" s="1">
        <f t="shared" si="5"/>
        <v>1.9237817301463295E-12</v>
      </c>
    </row>
    <row r="9" spans="1:19" x14ac:dyDescent="0.3">
      <c r="A9" s="1">
        <v>2</v>
      </c>
      <c r="B9" s="1">
        <v>6</v>
      </c>
      <c r="C9" s="1">
        <v>119.378999999999</v>
      </c>
      <c r="D9" s="1">
        <v>113.87</v>
      </c>
      <c r="E9" s="1">
        <v>38.584000000000003</v>
      </c>
      <c r="F9" s="1">
        <v>85.960999999999999</v>
      </c>
      <c r="G9" s="1">
        <v>124.413</v>
      </c>
      <c r="H9" s="1">
        <v>15.709</v>
      </c>
      <c r="I9" s="1">
        <v>35033</v>
      </c>
      <c r="J9" s="1">
        <v>26278</v>
      </c>
      <c r="K9" s="1">
        <v>56665</v>
      </c>
      <c r="L9" s="1">
        <v>18502</v>
      </c>
      <c r="M9" s="1">
        <v>248.958</v>
      </c>
      <c r="N9" s="1">
        <f t="shared" si="0"/>
        <v>248.95800000000148</v>
      </c>
      <c r="O9" s="1">
        <f t="shared" si="1"/>
        <v>1.4779288903810084E-12</v>
      </c>
      <c r="P9" s="1">
        <f t="shared" si="2"/>
        <v>1.7744799340605068E-12</v>
      </c>
      <c r="Q9" s="1">
        <f t="shared" si="3"/>
        <v>-1.4779288903810084E-12</v>
      </c>
      <c r="R9" s="1">
        <f t="shared" si="4"/>
        <v>2.1842738050228387E-24</v>
      </c>
      <c r="S9" s="1">
        <f t="shared" si="5"/>
        <v>1.9276659804326114E-12</v>
      </c>
    </row>
    <row r="10" spans="1:19" x14ac:dyDescent="0.3">
      <c r="A10" s="1">
        <v>3</v>
      </c>
      <c r="B10" s="1">
        <v>2</v>
      </c>
      <c r="C10" s="1">
        <v>218.85599999999999</v>
      </c>
      <c r="D10" s="1">
        <v>124.381</v>
      </c>
      <c r="E10" s="1">
        <v>33.972999999999999</v>
      </c>
      <c r="F10" s="1">
        <v>148.274</v>
      </c>
      <c r="G10" s="1">
        <v>162.04399999999899</v>
      </c>
      <c r="H10" s="1">
        <v>1.054</v>
      </c>
      <c r="I10" s="1">
        <v>66612</v>
      </c>
      <c r="J10" s="1">
        <v>19461</v>
      </c>
      <c r="K10" s="1">
        <v>103376</v>
      </c>
      <c r="L10" s="1">
        <v>10458</v>
      </c>
      <c r="M10" s="1">
        <v>344.291</v>
      </c>
      <c r="N10" s="1">
        <f t="shared" si="0"/>
        <v>344.29100000000136</v>
      </c>
      <c r="O10" s="1">
        <f t="shared" si="1"/>
        <v>1.3642420526593924E-12</v>
      </c>
      <c r="P10" s="1">
        <f t="shared" si="2"/>
        <v>1.7801828387466511E-12</v>
      </c>
      <c r="Q10" s="1">
        <f t="shared" si="3"/>
        <v>-1.3642420526593924E-12</v>
      </c>
      <c r="R10" s="1">
        <f t="shared" si="4"/>
        <v>1.8611563782443123E-24</v>
      </c>
      <c r="S10" s="1">
        <f t="shared" si="5"/>
        <v>1.9352907811588071E-12</v>
      </c>
    </row>
    <row r="11" spans="1:19" x14ac:dyDescent="0.3">
      <c r="A11" s="1">
        <v>3</v>
      </c>
      <c r="B11" s="1">
        <v>3</v>
      </c>
      <c r="C11" s="1">
        <v>146.518</v>
      </c>
      <c r="D11" s="1">
        <v>101.045</v>
      </c>
      <c r="E11" s="1">
        <v>36.399000000000001</v>
      </c>
      <c r="F11" s="1">
        <v>43.305999999999997</v>
      </c>
      <c r="G11" s="1">
        <v>168.72299999999899</v>
      </c>
      <c r="H11" s="1">
        <v>865</v>
      </c>
      <c r="I11" s="1">
        <v>58224</v>
      </c>
      <c r="J11" s="1">
        <v>7742</v>
      </c>
      <c r="K11" s="1">
        <v>82395</v>
      </c>
      <c r="L11" s="1">
        <v>11948</v>
      </c>
      <c r="M11" s="1">
        <v>248.428</v>
      </c>
      <c r="N11" s="1">
        <f t="shared" si="0"/>
        <v>248.42800000000085</v>
      </c>
      <c r="O11" s="1">
        <f t="shared" si="1"/>
        <v>8.5265128291212022E-13</v>
      </c>
      <c r="P11" s="1">
        <f t="shared" si="2"/>
        <v>1.7883385404346365E-12</v>
      </c>
      <c r="Q11" s="1">
        <f t="shared" si="3"/>
        <v>-8.5265128291212022E-13</v>
      </c>
      <c r="R11" s="1">
        <f t="shared" si="4"/>
        <v>7.2701421025168448E-25</v>
      </c>
      <c r="S11" s="1">
        <f t="shared" si="5"/>
        <v>1.9448124301862058E-12</v>
      </c>
    </row>
    <row r="12" spans="1:19" x14ac:dyDescent="0.3">
      <c r="A12" s="1">
        <v>3</v>
      </c>
      <c r="B12" s="1">
        <v>4</v>
      </c>
      <c r="C12" s="1">
        <v>178.43299999999999</v>
      </c>
      <c r="D12" s="1">
        <v>102.792999999999</v>
      </c>
      <c r="E12" s="1">
        <v>45.706000000000003</v>
      </c>
      <c r="F12" s="1">
        <v>111.036</v>
      </c>
      <c r="G12" s="1">
        <v>124.678</v>
      </c>
      <c r="H12" s="1">
        <v>194</v>
      </c>
      <c r="I12" s="1">
        <v>47046</v>
      </c>
      <c r="J12" s="1">
        <v>17299</v>
      </c>
      <c r="K12" s="1">
        <v>108719</v>
      </c>
      <c r="L12" s="1">
        <v>15560</v>
      </c>
      <c r="M12" s="1">
        <v>281.42</v>
      </c>
      <c r="N12" s="1">
        <f t="shared" si="0"/>
        <v>281.42000000000195</v>
      </c>
      <c r="O12" s="1">
        <f t="shared" si="1"/>
        <v>1.9326762412674725E-12</v>
      </c>
      <c r="P12" s="1">
        <f t="shared" si="2"/>
        <v>1.8070522855850867E-12</v>
      </c>
      <c r="Q12" s="1">
        <f t="shared" si="3"/>
        <v>-1.9326762412674725E-12</v>
      </c>
      <c r="R12" s="1">
        <f t="shared" si="4"/>
        <v>3.7352374535597656E-24</v>
      </c>
      <c r="S12" s="1">
        <f t="shared" si="5"/>
        <v>1.960459388045026E-12</v>
      </c>
    </row>
    <row r="13" spans="1:19" x14ac:dyDescent="0.3">
      <c r="A13" s="1">
        <v>3</v>
      </c>
      <c r="B13" s="1">
        <v>5</v>
      </c>
      <c r="C13" s="1">
        <v>145.86500000000001</v>
      </c>
      <c r="D13" s="1">
        <v>91.18</v>
      </c>
      <c r="E13" s="1">
        <v>43.850999999999999</v>
      </c>
      <c r="F13" s="1">
        <v>66.277000000000001</v>
      </c>
      <c r="G13" s="1">
        <v>133.44</v>
      </c>
      <c r="H13" s="1">
        <v>6.5229999999999997</v>
      </c>
      <c r="I13" s="1">
        <v>66910</v>
      </c>
      <c r="J13" s="1">
        <v>17768</v>
      </c>
      <c r="K13" s="1">
        <v>36693</v>
      </c>
      <c r="L13" s="1">
        <v>29046</v>
      </c>
      <c r="M13" s="1">
        <v>243.56799999999899</v>
      </c>
      <c r="N13" s="1">
        <f t="shared" si="0"/>
        <v>243.56800000000158</v>
      </c>
      <c r="O13" s="1">
        <f t="shared" si="1"/>
        <v>2.5863755581667647E-12</v>
      </c>
      <c r="P13" s="1">
        <f t="shared" si="2"/>
        <v>1.8044885313874872E-12</v>
      </c>
      <c r="Q13" s="1">
        <f t="shared" si="3"/>
        <v>-2.5863755581667647E-12</v>
      </c>
      <c r="R13" s="1">
        <f t="shared" si="4"/>
        <v>6.6893385278824435E-24</v>
      </c>
      <c r="S13" s="1">
        <f t="shared" si="5"/>
        <v>1.9610222925141445E-12</v>
      </c>
    </row>
    <row r="14" spans="1:19" x14ac:dyDescent="0.3">
      <c r="A14" s="1">
        <v>3</v>
      </c>
      <c r="B14" s="1">
        <v>6</v>
      </c>
      <c r="C14" s="1">
        <v>170.56599999999901</v>
      </c>
      <c r="D14" s="1">
        <v>114.41200000000001</v>
      </c>
      <c r="E14" s="1">
        <v>43.338999999999999</v>
      </c>
      <c r="F14" s="1">
        <v>136.434</v>
      </c>
      <c r="G14" s="1">
        <v>128.405</v>
      </c>
      <c r="H14" s="1">
        <v>23.2</v>
      </c>
      <c r="I14" s="1">
        <v>32529</v>
      </c>
      <c r="J14" s="1">
        <v>34002</v>
      </c>
      <c r="K14" s="1">
        <v>78153</v>
      </c>
      <c r="L14" s="1">
        <v>31949</v>
      </c>
      <c r="M14" s="1">
        <v>308.178</v>
      </c>
      <c r="N14" s="1">
        <f t="shared" si="0"/>
        <v>308.17800000000193</v>
      </c>
      <c r="O14" s="1">
        <f t="shared" si="1"/>
        <v>1.9326762412674725E-12</v>
      </c>
      <c r="P14" s="1">
        <f t="shared" si="2"/>
        <v>1.7881992183295854E-12</v>
      </c>
      <c r="Q14" s="1">
        <f t="shared" si="3"/>
        <v>-1.9326762412674725E-12</v>
      </c>
      <c r="R14" s="1">
        <f t="shared" si="4"/>
        <v>3.7352374535597656E-24</v>
      </c>
      <c r="S14" s="1">
        <f t="shared" si="5"/>
        <v>1.9458581795018902E-12</v>
      </c>
    </row>
    <row r="15" spans="1:19" x14ac:dyDescent="0.3">
      <c r="A15" s="1">
        <v>4</v>
      </c>
      <c r="B15" s="1">
        <v>2</v>
      </c>
      <c r="C15" s="1">
        <v>220.34299999999999</v>
      </c>
      <c r="D15" s="1">
        <v>141.40600000000001</v>
      </c>
      <c r="E15" s="1">
        <v>46.241</v>
      </c>
      <c r="F15" s="1">
        <v>120.86499999999999</v>
      </c>
      <c r="G15" s="1">
        <v>196.29599999999999</v>
      </c>
      <c r="H15" s="1">
        <v>1.653</v>
      </c>
      <c r="I15" s="1">
        <v>34878</v>
      </c>
      <c r="J15" s="1">
        <v>32905</v>
      </c>
      <c r="K15" s="1">
        <v>117137</v>
      </c>
      <c r="L15" s="1">
        <v>29188</v>
      </c>
      <c r="M15" s="1">
        <v>363.40199999999999</v>
      </c>
      <c r="N15" s="1">
        <f t="shared" si="0"/>
        <v>363.40200000000237</v>
      </c>
      <c r="O15" s="1">
        <f t="shared" si="1"/>
        <v>2.3874235921539366E-12</v>
      </c>
      <c r="P15" s="1">
        <f t="shared" si="2"/>
        <v>1.7851252391181411E-12</v>
      </c>
      <c r="Q15" s="1">
        <f t="shared" si="3"/>
        <v>-2.3874235921539366E-12</v>
      </c>
      <c r="R15" s="1">
        <f t="shared" si="4"/>
        <v>5.6997914083732063E-24</v>
      </c>
      <c r="S15" s="1">
        <f t="shared" si="5"/>
        <v>1.9461376762088036E-12</v>
      </c>
    </row>
    <row r="16" spans="1:19" x14ac:dyDescent="0.3">
      <c r="A16" s="1">
        <v>4</v>
      </c>
      <c r="B16" s="1">
        <v>3</v>
      </c>
      <c r="C16" s="1">
        <v>193.768</v>
      </c>
      <c r="D16" s="1">
        <v>141.85399999999899</v>
      </c>
      <c r="E16" s="1">
        <v>56.518999999999998</v>
      </c>
      <c r="F16" s="1">
        <v>136.709</v>
      </c>
      <c r="G16" s="1">
        <v>143.64400000000001</v>
      </c>
      <c r="H16" s="1">
        <v>1.25</v>
      </c>
      <c r="I16" s="1">
        <v>57858</v>
      </c>
      <c r="J16" s="1">
        <v>23956</v>
      </c>
      <c r="K16" s="1">
        <v>101048</v>
      </c>
      <c r="L16" s="1">
        <v>30134</v>
      </c>
      <c r="M16" s="1">
        <v>336.87199999999899</v>
      </c>
      <c r="N16" s="1">
        <f t="shared" si="0"/>
        <v>336.87200000000223</v>
      </c>
      <c r="O16" s="1">
        <f t="shared" si="1"/>
        <v>3.2400748750660568E-12</v>
      </c>
      <c r="P16" s="1">
        <f t="shared" si="2"/>
        <v>1.7720317966608412E-12</v>
      </c>
      <c r="Q16" s="1">
        <f t="shared" si="3"/>
        <v>-3.2400748750660568E-12</v>
      </c>
      <c r="R16" s="1">
        <f t="shared" si="4"/>
        <v>1.0498085196034324E-23</v>
      </c>
      <c r="S16" s="1">
        <f t="shared" si="5"/>
        <v>1.935427409066999E-12</v>
      </c>
    </row>
    <row r="17" spans="1:19" x14ac:dyDescent="0.3">
      <c r="A17" s="1">
        <v>4</v>
      </c>
      <c r="B17" s="1">
        <v>4</v>
      </c>
      <c r="C17" s="1">
        <v>122.736</v>
      </c>
      <c r="D17" s="1">
        <v>124.256</v>
      </c>
      <c r="E17" s="1">
        <v>56.167000000000002</v>
      </c>
      <c r="F17" s="1">
        <v>78.100999999999999</v>
      </c>
      <c r="G17" s="1">
        <v>112.72399999999899</v>
      </c>
      <c r="H17" s="1">
        <v>0</v>
      </c>
      <c r="I17" s="1">
        <v>52321</v>
      </c>
      <c r="J17" s="1">
        <v>10046</v>
      </c>
      <c r="K17" s="1">
        <v>62799</v>
      </c>
      <c r="L17" s="1">
        <v>24233</v>
      </c>
      <c r="M17" s="1">
        <v>246.99199999999999</v>
      </c>
      <c r="N17" s="1">
        <f t="shared" si="0"/>
        <v>246.9920000000005</v>
      </c>
      <c r="O17" s="1">
        <f t="shared" si="1"/>
        <v>5.1159076974727213E-13</v>
      </c>
      <c r="P17" s="1">
        <f t="shared" si="2"/>
        <v>1.7394086171407253E-12</v>
      </c>
      <c r="Q17" s="1">
        <f t="shared" si="3"/>
        <v>-5.1159076974727213E-13</v>
      </c>
      <c r="R17" s="1">
        <f t="shared" si="4"/>
        <v>2.6172511569060641E-25</v>
      </c>
      <c r="S17" s="1">
        <f t="shared" si="5"/>
        <v>1.8962674481393668E-12</v>
      </c>
    </row>
    <row r="18" spans="1:19" x14ac:dyDescent="0.3">
      <c r="A18" s="1">
        <v>4</v>
      </c>
      <c r="B18" s="1">
        <v>5</v>
      </c>
      <c r="C18" s="1">
        <v>144.05099999999999</v>
      </c>
      <c r="D18" s="1">
        <v>158.40799999999999</v>
      </c>
      <c r="E18" s="1">
        <v>51.66</v>
      </c>
      <c r="F18" s="1">
        <v>92.272000000000006</v>
      </c>
      <c r="G18" s="1">
        <v>164.94799999999901</v>
      </c>
      <c r="H18" s="1">
        <v>6.4210000000000003</v>
      </c>
      <c r="I18" s="1">
        <v>47167</v>
      </c>
      <c r="J18" s="1">
        <v>6440</v>
      </c>
      <c r="K18" s="1">
        <v>91784</v>
      </c>
      <c r="L18" s="1">
        <v>15973</v>
      </c>
      <c r="M18" s="1">
        <v>308.88</v>
      </c>
      <c r="N18" s="1">
        <f t="shared" si="0"/>
        <v>308.88000000000108</v>
      </c>
      <c r="O18" s="1">
        <f t="shared" si="1"/>
        <v>1.0800249583553523E-12</v>
      </c>
      <c r="P18" s="1">
        <f t="shared" si="2"/>
        <v>1.7673135682178491E-12</v>
      </c>
      <c r="Q18" s="1">
        <f t="shared" si="3"/>
        <v>-1.0800249583553523E-12</v>
      </c>
      <c r="R18" s="1">
        <f t="shared" si="4"/>
        <v>1.1664539106704804E-24</v>
      </c>
      <c r="S18" s="1">
        <f t="shared" si="5"/>
        <v>1.9161433535145643E-12</v>
      </c>
    </row>
    <row r="19" spans="1:19" x14ac:dyDescent="0.3">
      <c r="A19" s="1">
        <v>4</v>
      </c>
      <c r="B19" s="1">
        <v>6</v>
      </c>
      <c r="C19" s="1">
        <v>105.41500000000001</v>
      </c>
      <c r="D19" s="1">
        <v>108.68799999999899</v>
      </c>
      <c r="E19" s="1">
        <v>47.716999999999999</v>
      </c>
      <c r="F19" s="1">
        <v>71.473999999999904</v>
      </c>
      <c r="G19" s="1">
        <v>113.935</v>
      </c>
      <c r="H19" s="1">
        <v>19.023</v>
      </c>
      <c r="I19" s="1">
        <v>42737</v>
      </c>
      <c r="J19" s="1">
        <v>26020</v>
      </c>
      <c r="K19" s="1">
        <v>27873</v>
      </c>
      <c r="L19" s="1">
        <v>17600</v>
      </c>
      <c r="M19" s="1">
        <v>233.12599999999901</v>
      </c>
      <c r="N19" s="1">
        <f t="shared" si="0"/>
        <v>233.12600000000131</v>
      </c>
      <c r="O19" s="1">
        <f t="shared" si="1"/>
        <v>2.3021584638627246E-12</v>
      </c>
      <c r="P19" s="1">
        <f t="shared" si="2"/>
        <v>1.7832970242611631E-12</v>
      </c>
      <c r="Q19" s="1">
        <f t="shared" si="3"/>
        <v>-2.3021584638627246E-12</v>
      </c>
      <c r="R19" s="1">
        <f t="shared" si="4"/>
        <v>5.2999335927347799E-24</v>
      </c>
      <c r="S19" s="1">
        <f t="shared" si="5"/>
        <v>1.9312857600688531E-12</v>
      </c>
    </row>
    <row r="20" spans="1:19" x14ac:dyDescent="0.3">
      <c r="A20" s="1">
        <v>5</v>
      </c>
      <c r="B20" s="1">
        <v>2</v>
      </c>
      <c r="C20" s="1">
        <v>240.66</v>
      </c>
      <c r="D20" s="1">
        <v>163.72</v>
      </c>
      <c r="E20" s="1">
        <v>59.134999999999998</v>
      </c>
      <c r="F20" s="1">
        <v>157.68100000000001</v>
      </c>
      <c r="G20" s="1">
        <v>187.56399999999999</v>
      </c>
      <c r="H20" s="1">
        <v>0</v>
      </c>
      <c r="I20" s="1">
        <v>39273</v>
      </c>
      <c r="J20" s="1">
        <v>32917</v>
      </c>
      <c r="K20" s="1">
        <v>155617</v>
      </c>
      <c r="L20" s="1">
        <v>9203</v>
      </c>
      <c r="M20" s="1">
        <v>404.38</v>
      </c>
      <c r="N20" s="1">
        <f t="shared" si="0"/>
        <v>404.38000000000278</v>
      </c>
      <c r="O20" s="1">
        <f t="shared" si="1"/>
        <v>2.7853275241795927E-12</v>
      </c>
      <c r="P20" s="1">
        <f t="shared" si="2"/>
        <v>1.7709431804611259E-12</v>
      </c>
      <c r="Q20" s="1">
        <f t="shared" si="3"/>
        <v>-2.7853275241795927E-12</v>
      </c>
      <c r="R20" s="1">
        <f t="shared" si="4"/>
        <v>7.7580494169524197E-24</v>
      </c>
      <c r="S20" s="1">
        <f t="shared" si="5"/>
        <v>1.9215832258978809E-12</v>
      </c>
    </row>
    <row r="21" spans="1:19" x14ac:dyDescent="0.3">
      <c r="A21" s="1">
        <v>1</v>
      </c>
      <c r="B21" s="1">
        <v>3</v>
      </c>
      <c r="C21" s="1">
        <v>131.06700000000001</v>
      </c>
      <c r="D21" s="1">
        <v>166.649</v>
      </c>
      <c r="E21" s="1">
        <v>90.475999999999999</v>
      </c>
      <c r="F21" s="1">
        <v>80.509</v>
      </c>
      <c r="G21" s="1">
        <v>127.575</v>
      </c>
      <c r="H21" s="1">
        <v>844</v>
      </c>
      <c r="I21" s="1">
        <v>60543</v>
      </c>
      <c r="J21" s="1">
        <v>19141</v>
      </c>
      <c r="K21" s="1">
        <v>78378</v>
      </c>
      <c r="L21" s="1">
        <v>73839</v>
      </c>
      <c r="M21" s="1">
        <v>298.56</v>
      </c>
      <c r="N21" s="1">
        <f t="shared" si="0"/>
        <v>298.56000000000188</v>
      </c>
      <c r="O21" s="1">
        <f t="shared" si="1"/>
        <v>1.8758328224066645E-12</v>
      </c>
      <c r="P21" s="1">
        <f t="shared" si="2"/>
        <v>1.7462020989070169E-12</v>
      </c>
      <c r="Q21" s="1">
        <f t="shared" si="3"/>
        <v>-1.8758328224066645E-12</v>
      </c>
      <c r="R21" s="1">
        <f t="shared" si="4"/>
        <v>3.5187487776181529E-24</v>
      </c>
      <c r="S21" s="1">
        <f t="shared" si="5"/>
        <v>1.8956059494116338E-12</v>
      </c>
    </row>
    <row r="22" spans="1:19" x14ac:dyDescent="0.3">
      <c r="A22" s="1">
        <v>1</v>
      </c>
      <c r="B22" s="1">
        <v>4</v>
      </c>
      <c r="C22" s="1">
        <v>130.12899999999999</v>
      </c>
      <c r="D22" s="1">
        <v>98.927000000000007</v>
      </c>
      <c r="E22" s="1">
        <v>42.903999999999897</v>
      </c>
      <c r="F22" s="1">
        <v>43.961999999999897</v>
      </c>
      <c r="G22" s="1">
        <v>142.38299999999899</v>
      </c>
      <c r="H22" s="1">
        <v>193</v>
      </c>
      <c r="I22" s="1">
        <v>54760</v>
      </c>
      <c r="J22" s="1">
        <v>9163</v>
      </c>
      <c r="K22" s="1">
        <v>29874</v>
      </c>
      <c r="L22" s="1">
        <v>46992</v>
      </c>
      <c r="M22" s="1">
        <v>229.249</v>
      </c>
      <c r="N22" s="1">
        <f t="shared" si="0"/>
        <v>229.24900000000028</v>
      </c>
      <c r="O22" s="1">
        <f t="shared" si="1"/>
        <v>2.8421709430404007E-13</v>
      </c>
      <c r="P22" s="1">
        <f t="shared" si="2"/>
        <v>1.7429613308195258E-12</v>
      </c>
      <c r="Q22" s="1">
        <f t="shared" si="3"/>
        <v>-2.8421709430404007E-13</v>
      </c>
      <c r="R22" s="1">
        <f t="shared" si="4"/>
        <v>8.0779356694631609E-26</v>
      </c>
      <c r="S22" s="1">
        <f t="shared" si="5"/>
        <v>1.896097635642861E-12</v>
      </c>
    </row>
    <row r="23" spans="1:19" x14ac:dyDescent="0.3">
      <c r="A23" s="1">
        <v>1</v>
      </c>
      <c r="B23" s="1">
        <v>5</v>
      </c>
      <c r="C23" s="1">
        <v>123.286</v>
      </c>
      <c r="D23" s="1">
        <v>103.551</v>
      </c>
      <c r="E23" s="1">
        <v>47.331000000000003</v>
      </c>
      <c r="F23" s="1">
        <v>72.444000000000003</v>
      </c>
      <c r="G23" s="1">
        <v>116.529</v>
      </c>
      <c r="H23" s="1">
        <v>9.4670000000000005</v>
      </c>
      <c r="I23" s="1">
        <v>48732</v>
      </c>
      <c r="J23" s="1">
        <v>21196</v>
      </c>
      <c r="K23" s="1">
        <v>47793</v>
      </c>
      <c r="L23" s="1">
        <v>47574</v>
      </c>
      <c r="M23" s="1">
        <v>236.304</v>
      </c>
      <c r="N23" s="1">
        <f t="shared" si="0"/>
        <v>236.30400000000137</v>
      </c>
      <c r="O23" s="1">
        <f t="shared" si="1"/>
        <v>1.3642420526593924E-12</v>
      </c>
      <c r="P23" s="1">
        <f t="shared" si="2"/>
        <v>1.7803650291917177E-12</v>
      </c>
      <c r="Q23" s="1">
        <f t="shared" si="3"/>
        <v>-1.3642420526593924E-12</v>
      </c>
      <c r="R23" s="1">
        <f t="shared" si="4"/>
        <v>1.8611563782443123E-24</v>
      </c>
      <c r="S23" s="1">
        <f t="shared" si="5"/>
        <v>1.9197133226078401E-12</v>
      </c>
    </row>
    <row r="24" spans="1:19" x14ac:dyDescent="0.3">
      <c r="A24" s="1">
        <v>1</v>
      </c>
      <c r="B24" s="1">
        <v>6</v>
      </c>
      <c r="C24" s="1">
        <v>190.81599999999901</v>
      </c>
      <c r="D24" s="1">
        <v>87.628999999999905</v>
      </c>
      <c r="E24" s="1">
        <v>32.076999999999998</v>
      </c>
      <c r="F24" s="1">
        <v>127.357999999999</v>
      </c>
      <c r="G24" s="1">
        <v>137.739</v>
      </c>
      <c r="H24" s="1">
        <v>18.728999999999999</v>
      </c>
      <c r="I24" s="1">
        <v>46368</v>
      </c>
      <c r="J24" s="1">
        <v>36798</v>
      </c>
      <c r="K24" s="1">
        <v>92701</v>
      </c>
      <c r="L24" s="1">
        <v>31098</v>
      </c>
      <c r="M24" s="1">
        <v>297.17399999999998</v>
      </c>
      <c r="N24" s="1">
        <f t="shared" si="0"/>
        <v>297.17400000000094</v>
      </c>
      <c r="O24" s="1">
        <f t="shared" si="1"/>
        <v>9.6633812063373625E-13</v>
      </c>
      <c r="P24" s="1">
        <f t="shared" si="2"/>
        <v>1.7913156338373052E-12</v>
      </c>
      <c r="Q24" s="1">
        <f t="shared" si="3"/>
        <v>-9.6633812063373625E-13</v>
      </c>
      <c r="R24" s="1">
        <f t="shared" si="4"/>
        <v>9.338093633899414E-25</v>
      </c>
      <c r="S24" s="1">
        <f t="shared" si="5"/>
        <v>1.9321757167877314E-12</v>
      </c>
    </row>
    <row r="25" spans="1:19" x14ac:dyDescent="0.3">
      <c r="A25" s="1">
        <v>2</v>
      </c>
      <c r="B25" s="1">
        <v>2</v>
      </c>
      <c r="C25" s="1">
        <v>266.74099999999999</v>
      </c>
      <c r="D25" s="1">
        <v>141.43700000000001</v>
      </c>
      <c r="E25" s="1">
        <v>58.720999999999997</v>
      </c>
      <c r="F25" s="1">
        <v>139.03399999999999</v>
      </c>
      <c r="G25" s="1">
        <v>211.64599999999999</v>
      </c>
      <c r="H25" s="1">
        <v>1.2229999999999901</v>
      </c>
      <c r="I25" s="1">
        <v>58081</v>
      </c>
      <c r="J25" s="1">
        <v>43333</v>
      </c>
      <c r="K25" s="1">
        <v>135314</v>
      </c>
      <c r="L25" s="1">
        <v>29716</v>
      </c>
      <c r="M25" s="1">
        <v>409.40100000000001</v>
      </c>
      <c r="N25" s="1">
        <f t="shared" si="0"/>
        <v>409.4010000000028</v>
      </c>
      <c r="O25" s="1">
        <f t="shared" si="1"/>
        <v>2.7853275241795927E-12</v>
      </c>
      <c r="P25" s="1">
        <f t="shared" si="2"/>
        <v>1.8136123233833477E-12</v>
      </c>
      <c r="Q25" s="1">
        <f t="shared" si="3"/>
        <v>-2.7853275241795927E-12</v>
      </c>
      <c r="R25" s="1">
        <f t="shared" si="4"/>
        <v>7.7580494169524197E-24</v>
      </c>
      <c r="S25" s="1">
        <f t="shared" si="5"/>
        <v>1.9516569859320929E-12</v>
      </c>
    </row>
    <row r="26" spans="1:19" x14ac:dyDescent="0.3">
      <c r="A26" s="1">
        <v>2</v>
      </c>
      <c r="B26" s="1">
        <v>3</v>
      </c>
      <c r="C26" s="1">
        <v>123.14299999999901</v>
      </c>
      <c r="D26" s="1">
        <v>106.083</v>
      </c>
      <c r="E26" s="1">
        <v>36.016999999999904</v>
      </c>
      <c r="F26" s="1">
        <v>75.813000000000002</v>
      </c>
      <c r="G26" s="1">
        <v>119.205</v>
      </c>
      <c r="H26" s="1">
        <v>1.8089999999999999</v>
      </c>
      <c r="I26" s="1">
        <v>45340</v>
      </c>
      <c r="J26" s="1">
        <v>22109</v>
      </c>
      <c r="K26" s="1">
        <v>55584</v>
      </c>
      <c r="L26" s="1">
        <v>29803</v>
      </c>
      <c r="M26" s="1">
        <v>231.035</v>
      </c>
      <c r="N26" s="1">
        <f t="shared" si="0"/>
        <v>231.03500000000113</v>
      </c>
      <c r="O26" s="1">
        <f t="shared" si="1"/>
        <v>1.1368683772161603E-12</v>
      </c>
      <c r="P26" s="1">
        <f t="shared" si="2"/>
        <v>1.7866202344723409E-12</v>
      </c>
      <c r="Q26" s="1">
        <f t="shared" si="3"/>
        <v>-1.1368683772161603E-12</v>
      </c>
      <c r="R26" s="1">
        <f t="shared" si="4"/>
        <v>1.2924697071141057E-24</v>
      </c>
      <c r="S26" s="1">
        <f t="shared" si="5"/>
        <v>1.9233481746996466E-12</v>
      </c>
    </row>
    <row r="27" spans="1:19" x14ac:dyDescent="0.3">
      <c r="A27" s="1">
        <v>2</v>
      </c>
      <c r="B27" s="1">
        <v>4</v>
      </c>
      <c r="C27" s="1">
        <v>148.13900000000001</v>
      </c>
      <c r="D27" s="1">
        <v>85.31</v>
      </c>
      <c r="E27" s="1">
        <v>35.576000000000001</v>
      </c>
      <c r="F27" s="1">
        <v>79.997</v>
      </c>
      <c r="G27" s="1">
        <v>123.25299999999901</v>
      </c>
      <c r="H27" s="1">
        <v>5.3769999999999998</v>
      </c>
      <c r="I27" s="1">
        <v>59686</v>
      </c>
      <c r="J27" s="1">
        <v>14188</v>
      </c>
      <c r="K27" s="1">
        <v>67617</v>
      </c>
      <c r="L27" s="1">
        <v>32319</v>
      </c>
      <c r="M27" s="1">
        <v>238.82599999999999</v>
      </c>
      <c r="N27" s="1">
        <f t="shared" si="0"/>
        <v>238.82600000000045</v>
      </c>
      <c r="O27" s="1">
        <f t="shared" si="1"/>
        <v>4.5474735088646412E-13</v>
      </c>
      <c r="P27" s="1">
        <f t="shared" si="2"/>
        <v>1.8051845732510888E-12</v>
      </c>
      <c r="Q27" s="1">
        <f t="shared" si="3"/>
        <v>-4.5474735088646412E-13</v>
      </c>
      <c r="R27" s="1">
        <f t="shared" si="4"/>
        <v>2.0679515313825692E-25</v>
      </c>
      <c r="S27" s="1">
        <f t="shared" si="5"/>
        <v>1.9411424142441961E-12</v>
      </c>
    </row>
    <row r="28" spans="1:19" x14ac:dyDescent="0.3">
      <c r="A28" s="1">
        <v>2</v>
      </c>
      <c r="B28" s="1">
        <v>5</v>
      </c>
      <c r="C28" s="1">
        <v>118.55200000000001</v>
      </c>
      <c r="D28" s="1">
        <v>100.417</v>
      </c>
      <c r="E28" s="1">
        <v>54.401000000000003</v>
      </c>
      <c r="F28" s="1">
        <v>75.613</v>
      </c>
      <c r="G28" s="1">
        <v>105.584</v>
      </c>
      <c r="H28" s="1">
        <v>16.629000000000001</v>
      </c>
      <c r="I28" s="1">
        <v>40423</v>
      </c>
      <c r="J28" s="1">
        <v>24682</v>
      </c>
      <c r="K28" s="1">
        <v>47563</v>
      </c>
      <c r="L28" s="1">
        <v>35314</v>
      </c>
      <c r="M28" s="1">
        <v>235.59799999999899</v>
      </c>
      <c r="N28" s="1">
        <f t="shared" si="0"/>
        <v>235.59800000000132</v>
      </c>
      <c r="O28" s="1">
        <f t="shared" si="1"/>
        <v>2.3305801732931286E-12</v>
      </c>
      <c r="P28" s="1">
        <f t="shared" si="2"/>
        <v>1.8449033150853423E-12</v>
      </c>
      <c r="Q28" s="1">
        <f t="shared" si="3"/>
        <v>-2.3305801732931286E-12</v>
      </c>
      <c r="R28" s="1">
        <f t="shared" si="4"/>
        <v>5.4316039441470294E-24</v>
      </c>
      <c r="S28" s="1">
        <f t="shared" si="5"/>
        <v>1.9679370385379551E-12</v>
      </c>
    </row>
    <row r="29" spans="1:19" x14ac:dyDescent="0.3">
      <c r="A29" s="1">
        <v>2</v>
      </c>
      <c r="B29" s="1">
        <v>6</v>
      </c>
      <c r="C29" s="1">
        <v>146.959</v>
      </c>
      <c r="D29" s="1">
        <v>95.152999999999906</v>
      </c>
      <c r="E29" s="1">
        <v>37.655999999999999</v>
      </c>
      <c r="F29" s="1">
        <v>59.906999999999996</v>
      </c>
      <c r="G29" s="1">
        <v>144.54900000000001</v>
      </c>
      <c r="H29" s="1">
        <v>0</v>
      </c>
      <c r="I29" s="1">
        <v>50908</v>
      </c>
      <c r="J29" s="1">
        <v>45733</v>
      </c>
      <c r="K29" s="1">
        <v>43930</v>
      </c>
      <c r="L29" s="1">
        <v>28998</v>
      </c>
      <c r="M29" s="1">
        <v>242.11199999999999</v>
      </c>
      <c r="N29" s="1">
        <f t="shared" si="0"/>
        <v>242.11200000000156</v>
      </c>
      <c r="O29" s="1">
        <f t="shared" si="1"/>
        <v>1.5631940186722204E-12</v>
      </c>
      <c r="P29" s="1">
        <f t="shared" si="2"/>
        <v>1.8301858345335913E-12</v>
      </c>
      <c r="Q29" s="1">
        <f t="shared" si="3"/>
        <v>-1.5631940186722204E-12</v>
      </c>
      <c r="R29" s="1">
        <f t="shared" si="4"/>
        <v>2.4435755400126062E-24</v>
      </c>
      <c r="S29" s="1">
        <f t="shared" si="5"/>
        <v>1.955898510380124E-12</v>
      </c>
    </row>
    <row r="30" spans="1:19" x14ac:dyDescent="0.3">
      <c r="A30" s="1">
        <v>3</v>
      </c>
      <c r="B30" s="1">
        <v>2</v>
      </c>
      <c r="C30" s="1">
        <v>299.77</v>
      </c>
      <c r="D30" s="1">
        <v>133.375</v>
      </c>
      <c r="E30" s="1">
        <v>57.81</v>
      </c>
      <c r="F30" s="1">
        <v>236.24799999999999</v>
      </c>
      <c r="G30" s="1">
        <v>196.732</v>
      </c>
      <c r="H30" s="1">
        <v>57.645000000000003</v>
      </c>
      <c r="I30" s="1">
        <v>71772</v>
      </c>
      <c r="J30" s="1">
        <v>57756</v>
      </c>
      <c r="K30" s="1">
        <v>159373</v>
      </c>
      <c r="L30" s="1">
        <v>29160</v>
      </c>
      <c r="M30" s="1">
        <v>490.79</v>
      </c>
      <c r="N30" s="1">
        <f t="shared" si="0"/>
        <v>490.79000000000286</v>
      </c>
      <c r="O30" s="1">
        <f t="shared" si="1"/>
        <v>2.8421709430404007E-12</v>
      </c>
      <c r="P30" s="1">
        <f t="shared" si="2"/>
        <v>1.8385293287792592E-12</v>
      </c>
      <c r="Q30" s="1">
        <f t="shared" si="3"/>
        <v>-2.8421709430404007E-12</v>
      </c>
      <c r="R30" s="1">
        <f t="shared" si="4"/>
        <v>8.0779356694631609E-24</v>
      </c>
      <c r="S30" s="1">
        <f t="shared" si="5"/>
        <v>1.9669075576898991E-12</v>
      </c>
    </row>
    <row r="31" spans="1:19" x14ac:dyDescent="0.3">
      <c r="A31" s="1">
        <v>3</v>
      </c>
      <c r="B31" s="1">
        <v>3</v>
      </c>
      <c r="C31" s="1">
        <v>151.34100000000001</v>
      </c>
      <c r="D31" s="1">
        <v>131.78799999999899</v>
      </c>
      <c r="E31" s="1">
        <v>43.358999999999902</v>
      </c>
      <c r="F31" s="1">
        <v>89.382000000000005</v>
      </c>
      <c r="G31" s="1">
        <v>156.916</v>
      </c>
      <c r="H31" s="1">
        <v>6.5279999999999996</v>
      </c>
      <c r="I31" s="1">
        <v>53573</v>
      </c>
      <c r="J31" s="1">
        <v>42638</v>
      </c>
      <c r="K31" s="1">
        <v>62732</v>
      </c>
      <c r="L31" s="1">
        <v>32386</v>
      </c>
      <c r="M31" s="1">
        <v>289.65699999999998</v>
      </c>
      <c r="N31" s="1">
        <f t="shared" si="0"/>
        <v>289.65700000000157</v>
      </c>
      <c r="O31" s="1">
        <f t="shared" si="1"/>
        <v>1.5916157281026244E-12</v>
      </c>
      <c r="P31" s="1">
        <f t="shared" si="2"/>
        <v>1.8061537928353514E-12</v>
      </c>
      <c r="Q31" s="1">
        <f t="shared" si="3"/>
        <v>-1.5916157281026244E-12</v>
      </c>
      <c r="R31" s="1">
        <f t="shared" si="4"/>
        <v>2.5332406259436473E-24</v>
      </c>
      <c r="S31" s="1">
        <f t="shared" si="5"/>
        <v>1.932082907678632E-12</v>
      </c>
    </row>
    <row r="32" spans="1:19" x14ac:dyDescent="0.3">
      <c r="A32" s="1">
        <v>3</v>
      </c>
      <c r="B32" s="1">
        <v>4</v>
      </c>
      <c r="C32" s="1">
        <v>206.20599999999999</v>
      </c>
      <c r="D32" s="1">
        <v>92.16</v>
      </c>
      <c r="E32" s="1">
        <v>45.555</v>
      </c>
      <c r="F32" s="1">
        <v>148.71799999999999</v>
      </c>
      <c r="G32" s="1">
        <v>104.18600000000001</v>
      </c>
      <c r="H32" s="1">
        <v>93</v>
      </c>
      <c r="I32" s="1">
        <v>49110</v>
      </c>
      <c r="J32" s="1">
        <v>36904</v>
      </c>
      <c r="K32" s="1">
        <v>126632</v>
      </c>
      <c r="L32" s="1">
        <v>33237</v>
      </c>
      <c r="M32" s="1">
        <v>298.459</v>
      </c>
      <c r="N32" s="1">
        <f t="shared" si="0"/>
        <v>298.45900000000194</v>
      </c>
      <c r="O32" s="1">
        <f t="shared" si="1"/>
        <v>1.9326762412674725E-12</v>
      </c>
      <c r="P32" s="1">
        <f t="shared" si="2"/>
        <v>1.8133050616597756E-12</v>
      </c>
      <c r="Q32" s="1">
        <f t="shared" si="3"/>
        <v>-1.9326762412674725E-12</v>
      </c>
      <c r="R32" s="1">
        <f t="shared" si="4"/>
        <v>3.7352374535597656E-24</v>
      </c>
      <c r="S32" s="1">
        <f t="shared" si="5"/>
        <v>1.9424043056696324E-12</v>
      </c>
    </row>
    <row r="33" spans="1:19" x14ac:dyDescent="0.3">
      <c r="A33" s="1">
        <v>3</v>
      </c>
      <c r="B33" s="1">
        <v>5</v>
      </c>
      <c r="C33" s="1">
        <v>170.86799999999999</v>
      </c>
      <c r="D33" s="1">
        <v>131.46299999999999</v>
      </c>
      <c r="E33" s="1">
        <v>45.55</v>
      </c>
      <c r="F33" s="1">
        <v>120.54799999999901</v>
      </c>
      <c r="G33" s="1">
        <v>157.505</v>
      </c>
      <c r="H33" s="1">
        <v>21.271999999999998</v>
      </c>
      <c r="I33" s="1">
        <v>42534</v>
      </c>
      <c r="J33" s="1">
        <v>79556</v>
      </c>
      <c r="K33" s="1">
        <v>50433</v>
      </c>
      <c r="L33" s="1">
        <v>36483</v>
      </c>
      <c r="M33" s="1">
        <v>323.60300000000001</v>
      </c>
      <c r="N33" s="1">
        <f t="shared" si="0"/>
        <v>323.60300000000092</v>
      </c>
      <c r="O33" s="1">
        <f t="shared" si="1"/>
        <v>9.0949470177292824E-13</v>
      </c>
      <c r="P33" s="1">
        <f t="shared" si="2"/>
        <v>1.8091888140870965E-12</v>
      </c>
      <c r="Q33" s="1">
        <f t="shared" si="3"/>
        <v>-9.0949470177292824E-13</v>
      </c>
      <c r="R33" s="1">
        <f t="shared" si="4"/>
        <v>8.2718061255302767E-25</v>
      </c>
      <c r="S33" s="1">
        <f t="shared" si="5"/>
        <v>1.9427388873386622E-12</v>
      </c>
    </row>
    <row r="34" spans="1:19" x14ac:dyDescent="0.3">
      <c r="A34" s="1">
        <v>4</v>
      </c>
      <c r="B34" s="1">
        <v>3</v>
      </c>
      <c r="C34" s="1">
        <v>435.30399999999997</v>
      </c>
      <c r="D34" s="1">
        <v>181.149</v>
      </c>
      <c r="E34" s="1">
        <v>67.884</v>
      </c>
      <c r="F34" s="1">
        <v>267.34199999999998</v>
      </c>
      <c r="G34" s="1">
        <v>281.22699999999998</v>
      </c>
      <c r="H34" s="1">
        <v>0</v>
      </c>
      <c r="I34" s="1">
        <v>64867</v>
      </c>
      <c r="J34" s="1">
        <v>210508</v>
      </c>
      <c r="K34" s="1">
        <v>177229</v>
      </c>
      <c r="L34" s="1">
        <v>30514</v>
      </c>
      <c r="M34" s="1">
        <v>616.45299999999997</v>
      </c>
      <c r="N34" s="1">
        <f t="shared" si="0"/>
        <v>616.45300000000407</v>
      </c>
      <c r="O34" s="1">
        <f t="shared" si="1"/>
        <v>4.0927261579781771E-12</v>
      </c>
      <c r="P34" s="1">
        <f t="shared" si="2"/>
        <v>1.8413207466697455E-12</v>
      </c>
      <c r="Q34" s="1">
        <f t="shared" si="3"/>
        <v>-4.0927261579781771E-12</v>
      </c>
      <c r="R34" s="1">
        <f t="shared" si="4"/>
        <v>1.675040740419881E-23</v>
      </c>
      <c r="S34" s="1">
        <f t="shared" si="5"/>
        <v>1.9696411614302183E-12</v>
      </c>
    </row>
    <row r="35" spans="1:19" x14ac:dyDescent="0.3">
      <c r="A35" s="1">
        <v>4</v>
      </c>
      <c r="B35" s="1">
        <v>4</v>
      </c>
      <c r="C35" s="1">
        <v>235.10599999999999</v>
      </c>
      <c r="D35" s="1">
        <v>110.874</v>
      </c>
      <c r="E35" s="1">
        <v>70.376000000000005</v>
      </c>
      <c r="F35" s="1">
        <v>154.24199999999999</v>
      </c>
      <c r="G35" s="1">
        <v>121.417</v>
      </c>
      <c r="H35" s="1">
        <v>55</v>
      </c>
      <c r="I35" s="1">
        <v>23257</v>
      </c>
      <c r="J35" s="1">
        <v>163452</v>
      </c>
      <c r="K35" s="1">
        <v>63699</v>
      </c>
      <c r="L35" s="1">
        <v>33805</v>
      </c>
      <c r="M35" s="1">
        <v>346.03500000000003</v>
      </c>
      <c r="N35" s="1">
        <f t="shared" si="0"/>
        <v>346.03500000000201</v>
      </c>
      <c r="O35" s="1">
        <f t="shared" si="1"/>
        <v>1.9895196601282805E-12</v>
      </c>
      <c r="P35" s="1">
        <f t="shared" si="2"/>
        <v>1.7579353610657294E-12</v>
      </c>
      <c r="Q35" s="1">
        <f t="shared" si="3"/>
        <v>-1.9895196601282805E-12</v>
      </c>
      <c r="R35" s="1">
        <f t="shared" si="4"/>
        <v>3.9581884780369488E-24</v>
      </c>
      <c r="S35" s="1">
        <f t="shared" si="5"/>
        <v>1.8446640678836269E-12</v>
      </c>
    </row>
    <row r="36" spans="1:19" x14ac:dyDescent="0.3">
      <c r="A36" s="1">
        <v>4</v>
      </c>
      <c r="B36" s="1">
        <v>5</v>
      </c>
      <c r="C36" s="1">
        <v>168.179</v>
      </c>
      <c r="D36" s="1">
        <v>125.119</v>
      </c>
      <c r="E36" s="1">
        <v>71.067999999999998</v>
      </c>
      <c r="F36" s="1">
        <v>100.544</v>
      </c>
      <c r="G36" s="1">
        <v>136.03299999999999</v>
      </c>
      <c r="H36" s="1">
        <v>14.347</v>
      </c>
      <c r="I36" s="1">
        <v>28072</v>
      </c>
      <c r="J36" s="1">
        <v>95989</v>
      </c>
      <c r="K36" s="1">
        <v>50763</v>
      </c>
      <c r="L36" s="1">
        <v>55445</v>
      </c>
      <c r="M36" s="1">
        <v>307.64499999999998</v>
      </c>
      <c r="N36" s="1">
        <f t="shared" si="0"/>
        <v>307.64500000000163</v>
      </c>
      <c r="O36" s="1">
        <f t="shared" si="1"/>
        <v>1.6484591469634324E-12</v>
      </c>
      <c r="P36" s="1">
        <f t="shared" si="2"/>
        <v>1.7490282726402467E-12</v>
      </c>
      <c r="Q36" s="1">
        <f t="shared" si="3"/>
        <v>-1.6484591469634324E-12</v>
      </c>
      <c r="R36" s="1">
        <f t="shared" si="4"/>
        <v>2.7174175592074073E-24</v>
      </c>
      <c r="S36" s="1">
        <f t="shared" si="5"/>
        <v>1.8388648322368013E-12</v>
      </c>
    </row>
    <row r="37" spans="1:19" x14ac:dyDescent="0.3">
      <c r="A37" s="1">
        <v>4</v>
      </c>
      <c r="B37" s="1">
        <v>6</v>
      </c>
      <c r="C37" s="1">
        <v>172.78299999999999</v>
      </c>
      <c r="D37" s="1">
        <v>77.370999999999995</v>
      </c>
      <c r="E37" s="1">
        <v>64.137</v>
      </c>
      <c r="F37" s="1">
        <v>109.062</v>
      </c>
      <c r="G37" s="1">
        <v>80.647999999999996</v>
      </c>
      <c r="H37" s="1">
        <v>3.6930000000000001</v>
      </c>
      <c r="I37" s="1">
        <v>46321</v>
      </c>
      <c r="J37" s="1">
        <v>66498</v>
      </c>
      <c r="K37" s="1">
        <v>61593</v>
      </c>
      <c r="L37" s="1">
        <v>31625</v>
      </c>
      <c r="M37" s="1">
        <v>253.84700000000001</v>
      </c>
      <c r="N37" s="1">
        <f t="shared" si="0"/>
        <v>253.84700000000154</v>
      </c>
      <c r="O37" s="1">
        <f t="shared" si="1"/>
        <v>1.5347723092418164E-12</v>
      </c>
      <c r="P37" s="1">
        <f t="shared" si="2"/>
        <v>1.7530510376673192E-12</v>
      </c>
      <c r="Q37" s="1">
        <f t="shared" si="3"/>
        <v>-1.5347723092418164E-12</v>
      </c>
      <c r="R37" s="1">
        <f t="shared" si="4"/>
        <v>2.3555260412154577E-24</v>
      </c>
      <c r="S37" s="1">
        <f t="shared" si="5"/>
        <v>1.846072621463867E-12</v>
      </c>
    </row>
    <row r="38" spans="1:19" x14ac:dyDescent="0.3">
      <c r="A38" s="1">
        <v>5</v>
      </c>
      <c r="B38" s="1">
        <v>2</v>
      </c>
      <c r="C38" s="1">
        <v>381.76799999999997</v>
      </c>
      <c r="D38" s="1">
        <v>140.041</v>
      </c>
      <c r="E38" s="1">
        <v>118.178</v>
      </c>
      <c r="F38" s="1">
        <v>260.63200000000001</v>
      </c>
      <c r="G38" s="1">
        <v>152.13399999999999</v>
      </c>
      <c r="H38" s="1">
        <v>9.1349999999999998</v>
      </c>
      <c r="I38" s="1">
        <v>34236</v>
      </c>
      <c r="J38" s="1">
        <v>194216</v>
      </c>
      <c r="K38" s="1">
        <v>136035</v>
      </c>
      <c r="L38" s="1">
        <v>47601</v>
      </c>
      <c r="M38" s="1">
        <v>530.94399999999996</v>
      </c>
      <c r="N38" s="1">
        <f t="shared" si="0"/>
        <v>530.94400000000326</v>
      </c>
      <c r="O38" s="1">
        <f t="shared" si="1"/>
        <v>3.2969182939268649E-12</v>
      </c>
      <c r="P38" s="1">
        <f t="shared" si="2"/>
        <v>1.7621459846850485E-12</v>
      </c>
      <c r="Q38" s="1">
        <f t="shared" si="3"/>
        <v>-3.2969182939268649E-12</v>
      </c>
      <c r="R38" s="1">
        <f t="shared" si="4"/>
        <v>1.0869670236829629E-23</v>
      </c>
      <c r="S38" s="1">
        <f t="shared" si="5"/>
        <v>1.8579118773027872E-12</v>
      </c>
    </row>
    <row r="39" spans="1:19" x14ac:dyDescent="0.3">
      <c r="A39" s="1">
        <v>5</v>
      </c>
      <c r="B39" s="1">
        <v>3</v>
      </c>
      <c r="C39" s="1">
        <v>221.43799999999999</v>
      </c>
      <c r="D39" s="1">
        <v>111.392</v>
      </c>
      <c r="E39" s="1">
        <v>51.198999999999998</v>
      </c>
      <c r="F39" s="1">
        <v>124.66</v>
      </c>
      <c r="G39" s="1">
        <v>157.5</v>
      </c>
      <c r="H39" s="1">
        <v>529</v>
      </c>
      <c r="I39" s="1">
        <v>39964</v>
      </c>
      <c r="J39" s="1">
        <v>136119</v>
      </c>
      <c r="K39" s="1">
        <v>66745</v>
      </c>
      <c r="L39" s="1">
        <v>31031</v>
      </c>
      <c r="M39" s="1">
        <v>333.35899999999998</v>
      </c>
      <c r="N39" s="1">
        <f t="shared" si="0"/>
        <v>333.35900000000208</v>
      </c>
      <c r="O39" s="1">
        <f t="shared" si="1"/>
        <v>2.1032064978498966E-12</v>
      </c>
      <c r="P39" s="1">
        <f t="shared" si="2"/>
        <v>1.6954167538484477E-12</v>
      </c>
      <c r="Q39" s="1">
        <f t="shared" si="3"/>
        <v>-2.1032064978498966E-12</v>
      </c>
      <c r="R39" s="1">
        <f t="shared" si="4"/>
        <v>4.4234775725980269E-24</v>
      </c>
      <c r="S39" s="1">
        <f t="shared" si="5"/>
        <v>1.7689889868032428E-12</v>
      </c>
    </row>
    <row r="40" spans="1:19" x14ac:dyDescent="0.3">
      <c r="A40" s="1">
        <v>5</v>
      </c>
      <c r="B40" s="1">
        <v>4</v>
      </c>
      <c r="C40" s="1">
        <v>193.95699999999999</v>
      </c>
      <c r="D40" s="1">
        <v>111.85899999999999</v>
      </c>
      <c r="E40" s="1">
        <v>47.001999999999903</v>
      </c>
      <c r="F40" s="1">
        <v>99.891999999999996</v>
      </c>
      <c r="G40" s="1">
        <v>159.46199999999999</v>
      </c>
      <c r="H40" s="1">
        <v>540</v>
      </c>
      <c r="I40" s="1">
        <v>59179</v>
      </c>
      <c r="J40" s="1">
        <v>94460</v>
      </c>
      <c r="K40" s="1">
        <v>54772</v>
      </c>
      <c r="L40" s="1">
        <v>34616</v>
      </c>
      <c r="M40" s="1">
        <v>306.35599999999999</v>
      </c>
      <c r="N40" s="1">
        <f t="shared" si="0"/>
        <v>306.35600000000187</v>
      </c>
      <c r="O40" s="1">
        <f t="shared" si="1"/>
        <v>1.8758328224066645E-12</v>
      </c>
      <c r="P40" s="1">
        <f t="shared" si="2"/>
        <v>1.6768808563938364E-12</v>
      </c>
      <c r="Q40" s="1">
        <f t="shared" si="3"/>
        <v>-1.8758328224066645E-12</v>
      </c>
      <c r="R40" s="1">
        <f t="shared" si="4"/>
        <v>3.5187487776181529E-24</v>
      </c>
      <c r="S40" s="1">
        <f t="shared" si="5"/>
        <v>1.7522833057875547E-12</v>
      </c>
    </row>
    <row r="41" spans="1:19" x14ac:dyDescent="0.3">
      <c r="A41" s="1">
        <v>1</v>
      </c>
      <c r="B41" s="1">
        <v>6</v>
      </c>
      <c r="C41" s="1">
        <v>275.075999999999</v>
      </c>
      <c r="D41" s="1">
        <v>121.697</v>
      </c>
      <c r="E41" s="1">
        <v>109.887999999999</v>
      </c>
      <c r="F41" s="1">
        <v>131.16499999999999</v>
      </c>
      <c r="G41" s="1">
        <v>175.77699999999999</v>
      </c>
      <c r="H41" s="1">
        <v>20.056999999999999</v>
      </c>
      <c r="I41" s="1">
        <v>37906</v>
      </c>
      <c r="J41" s="1">
        <v>138536</v>
      </c>
      <c r="K41" s="1">
        <v>85378</v>
      </c>
      <c r="L41" s="1">
        <v>14020</v>
      </c>
      <c r="M41" s="1">
        <v>416.83</v>
      </c>
      <c r="N41" s="1">
        <f t="shared" si="0"/>
        <v>416.83000000000169</v>
      </c>
      <c r="O41" s="1">
        <f t="shared" si="1"/>
        <v>1.7053025658242404E-12</v>
      </c>
      <c r="P41" s="1">
        <f t="shared" si="2"/>
        <v>1.6674069532503684E-12</v>
      </c>
      <c r="Q41" s="1">
        <f t="shared" si="3"/>
        <v>-1.7053025658242404E-12</v>
      </c>
      <c r="R41" s="1">
        <f t="shared" si="4"/>
        <v>2.9080568410067379E-24</v>
      </c>
      <c r="S41" s="1">
        <f t="shared" si="5"/>
        <v>1.7461819637998863E-12</v>
      </c>
    </row>
    <row r="42" spans="1:19" x14ac:dyDescent="0.3">
      <c r="A42" s="1">
        <v>2</v>
      </c>
      <c r="B42" s="1">
        <v>2</v>
      </c>
      <c r="C42" s="1">
        <v>252.298</v>
      </c>
      <c r="D42" s="1">
        <v>150.708</v>
      </c>
      <c r="E42" s="1">
        <v>77.388000000000005</v>
      </c>
      <c r="F42" s="1">
        <v>154.863</v>
      </c>
      <c r="G42" s="1">
        <v>182.93599999999901</v>
      </c>
      <c r="H42" s="1">
        <v>12.180999999999999</v>
      </c>
      <c r="I42" s="1">
        <v>32133</v>
      </c>
      <c r="J42" s="1">
        <v>69093</v>
      </c>
      <c r="K42" s="1">
        <v>169088</v>
      </c>
      <c r="L42" s="1">
        <v>12516</v>
      </c>
      <c r="M42" s="1">
        <v>415.18699999999899</v>
      </c>
      <c r="N42" s="1">
        <f t="shared" si="0"/>
        <v>415.18700000000155</v>
      </c>
      <c r="O42" s="1">
        <f t="shared" si="1"/>
        <v>2.5579538487363607E-12</v>
      </c>
      <c r="P42" s="1">
        <f t="shared" si="2"/>
        <v>1.6655121726216749E-12</v>
      </c>
      <c r="Q42" s="1">
        <f t="shared" si="3"/>
        <v>-2.5579538487363607E-12</v>
      </c>
      <c r="R42" s="1">
        <f t="shared" si="4"/>
        <v>6.5431278922651603E-24</v>
      </c>
      <c r="S42" s="1">
        <f t="shared" si="5"/>
        <v>1.7482008412035193E-12</v>
      </c>
    </row>
    <row r="43" spans="1:19" x14ac:dyDescent="0.3">
      <c r="A43" s="1">
        <v>2</v>
      </c>
      <c r="B43" s="1">
        <v>3</v>
      </c>
      <c r="C43" s="1">
        <v>165.47200000000001</v>
      </c>
      <c r="D43" s="1">
        <v>102.53</v>
      </c>
      <c r="E43" s="1">
        <v>46.295000000000002</v>
      </c>
      <c r="F43" s="1">
        <v>96.87</v>
      </c>
      <c r="G43" s="1">
        <v>124.837</v>
      </c>
      <c r="H43" s="1">
        <v>0</v>
      </c>
      <c r="I43" s="1">
        <v>48458</v>
      </c>
      <c r="J43" s="1">
        <v>43112</v>
      </c>
      <c r="K43" s="1">
        <v>72840</v>
      </c>
      <c r="L43" s="1">
        <v>11304</v>
      </c>
      <c r="M43" s="1">
        <v>268.00200000000001</v>
      </c>
      <c r="N43" s="1">
        <f t="shared" si="0"/>
        <v>268.00200000000166</v>
      </c>
      <c r="O43" s="1">
        <f t="shared" si="1"/>
        <v>1.6484591469634324E-12</v>
      </c>
      <c r="P43" s="1">
        <f t="shared" si="2"/>
        <v>1.6185415580893229E-12</v>
      </c>
      <c r="Q43" s="1">
        <f t="shared" si="3"/>
        <v>-1.6484591469634324E-12</v>
      </c>
      <c r="R43" s="1">
        <f t="shared" si="4"/>
        <v>2.7174175592074073E-24</v>
      </c>
      <c r="S43" s="1">
        <f t="shared" si="5"/>
        <v>1.6948994028745977E-12</v>
      </c>
    </row>
    <row r="44" spans="1:19" x14ac:dyDescent="0.3">
      <c r="A44" s="1">
        <v>2</v>
      </c>
      <c r="B44" s="1">
        <v>4</v>
      </c>
      <c r="C44" s="1">
        <v>126.03</v>
      </c>
      <c r="D44" s="1">
        <v>108.05500000000001</v>
      </c>
      <c r="E44" s="1">
        <v>53.366</v>
      </c>
      <c r="F44" s="1">
        <v>69.150000000000006</v>
      </c>
      <c r="G44" s="1">
        <v>111.98699999999999</v>
      </c>
      <c r="H44" s="1">
        <v>418</v>
      </c>
      <c r="I44" s="1">
        <v>42201</v>
      </c>
      <c r="J44" s="1">
        <v>13736</v>
      </c>
      <c r="K44" s="1">
        <v>70191</v>
      </c>
      <c r="L44" s="1">
        <v>16710</v>
      </c>
      <c r="M44" s="1">
        <v>234.50299999999999</v>
      </c>
      <c r="N44" s="1">
        <f t="shared" si="0"/>
        <v>234.50300000000161</v>
      </c>
      <c r="O44" s="1">
        <f t="shared" si="1"/>
        <v>1.6200374375330284E-12</v>
      </c>
      <c r="P44" s="1">
        <f t="shared" si="2"/>
        <v>1.616879469818539E-12</v>
      </c>
      <c r="Q44" s="1">
        <f t="shared" si="3"/>
        <v>-1.6200374375330284E-12</v>
      </c>
      <c r="R44" s="1">
        <f t="shared" si="4"/>
        <v>2.624521299008581E-24</v>
      </c>
      <c r="S44" s="1">
        <f t="shared" si="5"/>
        <v>1.6974421635085944E-12</v>
      </c>
    </row>
    <row r="45" spans="1:19" x14ac:dyDescent="0.3">
      <c r="A45" s="1">
        <v>2</v>
      </c>
      <c r="B45" s="1">
        <v>5</v>
      </c>
      <c r="C45" s="1">
        <v>112.246</v>
      </c>
      <c r="D45" s="1">
        <v>106.64100000000001</v>
      </c>
      <c r="E45" s="1">
        <v>47.398999999999901</v>
      </c>
      <c r="F45" s="1">
        <v>77.61</v>
      </c>
      <c r="G45" s="1">
        <v>109.715</v>
      </c>
      <c r="H45" s="1">
        <v>15.837</v>
      </c>
      <c r="I45" s="1">
        <v>35316</v>
      </c>
      <c r="J45" s="1">
        <v>25876</v>
      </c>
      <c r="K45" s="1">
        <v>38646</v>
      </c>
      <c r="L45" s="1">
        <v>13989</v>
      </c>
      <c r="M45" s="1">
        <v>234.72399999999999</v>
      </c>
      <c r="N45" s="1">
        <f t="shared" si="0"/>
        <v>234.7240000000013</v>
      </c>
      <c r="O45" s="1">
        <f t="shared" si="1"/>
        <v>1.3073986337985843E-12</v>
      </c>
      <c r="P45" s="1">
        <f t="shared" si="2"/>
        <v>1.6166937070118044E-12</v>
      </c>
      <c r="Q45" s="1">
        <f t="shared" si="3"/>
        <v>-1.3073986337985843E-12</v>
      </c>
      <c r="R45" s="1">
        <f t="shared" si="4"/>
        <v>1.7092911876584048E-24</v>
      </c>
      <c r="S45" s="1">
        <f t="shared" si="5"/>
        <v>1.7018857512150991E-12</v>
      </c>
    </row>
    <row r="46" spans="1:19" x14ac:dyDescent="0.3">
      <c r="A46" s="1">
        <v>2</v>
      </c>
      <c r="B46" s="1">
        <v>6</v>
      </c>
      <c r="C46" s="1">
        <v>123.30200000000001</v>
      </c>
      <c r="D46" s="1">
        <v>94.314999999999998</v>
      </c>
      <c r="E46" s="1">
        <v>48.081000000000003</v>
      </c>
      <c r="F46" s="1">
        <v>72.825999999999993</v>
      </c>
      <c r="G46" s="1">
        <v>109.157</v>
      </c>
      <c r="H46" s="1">
        <v>12.446999999999999</v>
      </c>
      <c r="I46" s="1">
        <v>43284</v>
      </c>
      <c r="J46" s="1">
        <v>30138</v>
      </c>
      <c r="K46" s="1">
        <v>52112</v>
      </c>
      <c r="L46" s="1">
        <v>12632</v>
      </c>
      <c r="M46" s="1">
        <v>230.06399999999999</v>
      </c>
      <c r="N46" s="1">
        <f t="shared" si="0"/>
        <v>230.06400000000139</v>
      </c>
      <c r="O46" s="1">
        <f t="shared" si="1"/>
        <v>1.3926637620897964E-12</v>
      </c>
      <c r="P46" s="1">
        <f t="shared" si="2"/>
        <v>1.6360246490876307E-12</v>
      </c>
      <c r="Q46" s="1">
        <f t="shared" si="3"/>
        <v>-1.3926637620897964E-12</v>
      </c>
      <c r="R46" s="1">
        <f t="shared" si="4"/>
        <v>1.9395123542381049E-24</v>
      </c>
      <c r="S46" s="1">
        <f t="shared" si="5"/>
        <v>1.7235458669113343E-12</v>
      </c>
    </row>
    <row r="47" spans="1:19" x14ac:dyDescent="0.3">
      <c r="A47" s="1">
        <v>3</v>
      </c>
      <c r="B47" s="1">
        <v>2</v>
      </c>
      <c r="C47" s="1">
        <v>187.81</v>
      </c>
      <c r="D47" s="1">
        <v>167.45500000000001</v>
      </c>
      <c r="E47" s="1">
        <v>59.042000000000002</v>
      </c>
      <c r="F47" s="1">
        <v>130.09799999999899</v>
      </c>
      <c r="G47" s="1">
        <v>168.25399999999999</v>
      </c>
      <c r="H47" s="1">
        <v>2.129</v>
      </c>
      <c r="I47" s="1">
        <v>37817</v>
      </c>
      <c r="J47" s="1">
        <v>36445</v>
      </c>
      <c r="K47" s="1">
        <v>103567</v>
      </c>
      <c r="L47" s="1">
        <v>10443</v>
      </c>
      <c r="M47" s="1">
        <v>357.39400000000001</v>
      </c>
      <c r="N47" s="1">
        <f t="shared" si="0"/>
        <v>357.39400000000126</v>
      </c>
      <c r="O47" s="1">
        <f t="shared" si="1"/>
        <v>1.2505552149377763E-12</v>
      </c>
      <c r="P47" s="1">
        <f t="shared" si="2"/>
        <v>1.6522487082208196E-12</v>
      </c>
      <c r="Q47" s="1">
        <f>M47-N47</f>
        <v>-1.2505552149377763E-12</v>
      </c>
      <c r="R47" s="1">
        <f t="shared" si="4"/>
        <v>1.5638883456080679E-24</v>
      </c>
      <c r="S47" s="1">
        <f t="shared" si="5"/>
        <v>1.743373230862441E-12</v>
      </c>
    </row>
    <row r="48" spans="1:19" x14ac:dyDescent="0.3">
      <c r="A48" s="1">
        <v>3</v>
      </c>
      <c r="B48" s="1">
        <v>3</v>
      </c>
      <c r="C48" s="1">
        <v>119.863</v>
      </c>
      <c r="D48" s="1">
        <v>139.38299999999899</v>
      </c>
      <c r="E48" s="1">
        <v>44.808999999999997</v>
      </c>
      <c r="F48" s="1">
        <v>99.072000000000003</v>
      </c>
      <c r="G48" s="1">
        <v>115.36499999999999</v>
      </c>
      <c r="H48" s="1">
        <v>0</v>
      </c>
      <c r="I48" s="1">
        <v>54584</v>
      </c>
      <c r="J48" s="1">
        <v>17242</v>
      </c>
      <c r="K48" s="1">
        <v>59231</v>
      </c>
      <c r="L48" s="1">
        <v>12543</v>
      </c>
      <c r="M48" s="1">
        <v>259.24599999999998</v>
      </c>
      <c r="N48" s="1">
        <f t="shared" si="0"/>
        <v>259.24600000000146</v>
      </c>
      <c r="O48" s="1">
        <f t="shared" si="1"/>
        <v>1.4779288903810084E-12</v>
      </c>
      <c r="P48" s="1">
        <f t="shared" si="2"/>
        <v>1.68094110059818E-12</v>
      </c>
      <c r="Q48" s="1">
        <f t="shared" si="3"/>
        <v>-1.4779288903810084E-12</v>
      </c>
      <c r="R48" s="1">
        <f t="shared" si="4"/>
        <v>2.1842738050228387E-24</v>
      </c>
      <c r="S48" s="1">
        <f t="shared" si="5"/>
        <v>1.7733415790879117E-12</v>
      </c>
    </row>
    <row r="49" spans="1:19" x14ac:dyDescent="0.3">
      <c r="A49" s="1">
        <v>3</v>
      </c>
      <c r="B49" s="1">
        <v>4</v>
      </c>
      <c r="C49" s="1">
        <v>127.80500000000001</v>
      </c>
      <c r="D49" s="1">
        <v>114.81299999999899</v>
      </c>
      <c r="E49" s="1">
        <v>39.024999999999999</v>
      </c>
      <c r="F49" s="1">
        <v>110.74</v>
      </c>
      <c r="G49" s="1">
        <v>94.47</v>
      </c>
      <c r="H49" s="1">
        <v>1.617</v>
      </c>
      <c r="I49" s="1">
        <v>33366</v>
      </c>
      <c r="J49" s="1">
        <v>21103</v>
      </c>
      <c r="K49" s="1">
        <v>84558</v>
      </c>
      <c r="L49" s="1">
        <v>16683</v>
      </c>
      <c r="M49" s="1">
        <v>244.23500000000001</v>
      </c>
      <c r="N49" s="1">
        <f t="shared" si="0"/>
        <v>244.23500000000146</v>
      </c>
      <c r="O49" s="1">
        <f t="shared" si="1"/>
        <v>1.4495071809506044E-12</v>
      </c>
      <c r="P49" s="1">
        <f t="shared" si="2"/>
        <v>1.6965574244610392E-12</v>
      </c>
      <c r="Q49" s="1">
        <f t="shared" si="3"/>
        <v>-1.4495071809506044E-12</v>
      </c>
      <c r="R49" s="1">
        <f t="shared" si="4"/>
        <v>2.1010710676273681E-24</v>
      </c>
      <c r="S49" s="1">
        <f t="shared" si="5"/>
        <v>1.794051949781347E-12</v>
      </c>
    </row>
    <row r="50" spans="1:19" x14ac:dyDescent="0.3">
      <c r="A50" s="1">
        <v>3</v>
      </c>
      <c r="B50" s="1">
        <v>5</v>
      </c>
      <c r="C50" s="1">
        <v>120.628999999999</v>
      </c>
      <c r="D50" s="1">
        <v>112.70299999999899</v>
      </c>
      <c r="E50" s="1">
        <v>39.6</v>
      </c>
      <c r="F50" s="1">
        <v>240.922</v>
      </c>
      <c r="G50" s="1">
        <v>122.08499999999999</v>
      </c>
      <c r="H50" s="1">
        <v>169.27500000000001</v>
      </c>
      <c r="I50" s="1">
        <v>37387</v>
      </c>
      <c r="J50" s="1">
        <v>20246</v>
      </c>
      <c r="K50" s="1">
        <v>63778</v>
      </c>
      <c r="L50" s="1">
        <v>13886</v>
      </c>
      <c r="M50" s="1">
        <v>402.606999999999</v>
      </c>
      <c r="N50" s="1">
        <f t="shared" si="0"/>
        <v>402.60700000000151</v>
      </c>
      <c r="O50" s="1">
        <f t="shared" si="1"/>
        <v>2.5011104298755527E-12</v>
      </c>
      <c r="P50" s="1">
        <f t="shared" si="2"/>
        <v>1.7171449447535754E-12</v>
      </c>
      <c r="Q50" s="1">
        <f t="shared" si="3"/>
        <v>-2.5011104298755527E-12</v>
      </c>
      <c r="R50" s="1">
        <f t="shared" si="4"/>
        <v>6.2555533824322718E-24</v>
      </c>
      <c r="S50" s="1">
        <f t="shared" si="5"/>
        <v>1.8198218803191038E-12</v>
      </c>
    </row>
    <row r="51" spans="1:19" x14ac:dyDescent="0.3">
      <c r="A51" s="1">
        <v>3</v>
      </c>
      <c r="B51" s="1">
        <v>6</v>
      </c>
      <c r="C51" s="1">
        <v>130.465</v>
      </c>
      <c r="D51" s="1">
        <v>105.273</v>
      </c>
      <c r="E51" s="1">
        <v>57.466999999999999</v>
      </c>
      <c r="F51" s="1">
        <v>88.462000000000003</v>
      </c>
      <c r="G51" s="1">
        <v>109.13200000000001</v>
      </c>
      <c r="H51" s="1">
        <v>19.323</v>
      </c>
      <c r="I51" s="1">
        <v>27200</v>
      </c>
      <c r="J51" s="1">
        <v>41713</v>
      </c>
      <c r="K51" s="1">
        <v>59513</v>
      </c>
      <c r="L51" s="1">
        <v>12260</v>
      </c>
      <c r="M51" s="1">
        <v>255.06099999999901</v>
      </c>
      <c r="N51" s="1">
        <f t="shared" si="0"/>
        <v>255.06100000000148</v>
      </c>
      <c r="O51" s="1">
        <f t="shared" si="1"/>
        <v>2.4726887204451486E-12</v>
      </c>
      <c r="P51" s="1">
        <f t="shared" si="2"/>
        <v>1.645875355197032E-12</v>
      </c>
      <c r="Q51" s="1">
        <f t="shared" si="3"/>
        <v>-2.4726887204451486E-12</v>
      </c>
      <c r="R51" s="1">
        <f t="shared" si="4"/>
        <v>6.1141895082166665E-24</v>
      </c>
      <c r="S51" s="1">
        <f t="shared" si="5"/>
        <v>1.7447444910782168E-12</v>
      </c>
    </row>
    <row r="52" spans="1:19" x14ac:dyDescent="0.3">
      <c r="A52" s="1">
        <v>4</v>
      </c>
      <c r="B52" s="1">
        <v>2</v>
      </c>
      <c r="C52" s="1">
        <v>222.28200000000001</v>
      </c>
      <c r="D52" s="1">
        <v>120.324</v>
      </c>
      <c r="E52" s="1">
        <v>41.417999999999999</v>
      </c>
      <c r="F52" s="1">
        <v>135.18899999999999</v>
      </c>
      <c r="G52" s="1">
        <v>165.999</v>
      </c>
      <c r="H52" s="1">
        <v>0</v>
      </c>
      <c r="I52" s="1">
        <v>39446</v>
      </c>
      <c r="J52" s="1">
        <v>29290</v>
      </c>
      <c r="K52" s="1">
        <v>154144</v>
      </c>
      <c r="L52" s="1">
        <v>10811</v>
      </c>
      <c r="M52" s="1">
        <v>342.60599999999999</v>
      </c>
      <c r="N52" s="1">
        <f t="shared" si="0"/>
        <v>342.60600000000221</v>
      </c>
      <c r="O52" s="1">
        <f t="shared" si="1"/>
        <v>2.2168933355715126E-12</v>
      </c>
      <c r="P52" s="1">
        <f t="shared" si="2"/>
        <v>1.5631940186722204E-12</v>
      </c>
      <c r="Q52" s="1">
        <f t="shared" si="3"/>
        <v>-2.2168933355715126E-12</v>
      </c>
      <c r="R52" s="1">
        <f t="shared" si="4"/>
        <v>4.9146160613013871E-24</v>
      </c>
      <c r="S52" s="1">
        <f t="shared" si="5"/>
        <v>1.6544267050071748E-12</v>
      </c>
    </row>
    <row r="53" spans="1:19" x14ac:dyDescent="0.3">
      <c r="A53" s="1">
        <v>4</v>
      </c>
      <c r="B53" s="1">
        <v>3</v>
      </c>
      <c r="C53" s="1">
        <v>150.25700000000001</v>
      </c>
      <c r="D53" s="1">
        <v>116.959</v>
      </c>
      <c r="E53" s="1">
        <v>34.192999999999998</v>
      </c>
      <c r="F53" s="1">
        <v>115.536</v>
      </c>
      <c r="G53" s="1">
        <v>118.911</v>
      </c>
      <c r="H53" s="1">
        <v>1.4239999999999999</v>
      </c>
      <c r="I53" s="1">
        <v>51346</v>
      </c>
      <c r="J53" s="1">
        <v>19782</v>
      </c>
      <c r="K53" s="1">
        <v>89704</v>
      </c>
      <c r="L53" s="1">
        <v>12182</v>
      </c>
      <c r="M53" s="1">
        <v>268.64</v>
      </c>
      <c r="N53" s="1">
        <f t="shared" si="0"/>
        <v>268.64000000000158</v>
      </c>
      <c r="O53" s="1">
        <f t="shared" si="1"/>
        <v>1.5916157281026244E-12</v>
      </c>
      <c r="P53" s="1">
        <f t="shared" si="2"/>
        <v>1.4905607612389657E-12</v>
      </c>
      <c r="Q53" s="1">
        <f t="shared" si="3"/>
        <v>-1.5916157281026244E-12</v>
      </c>
      <c r="R53" s="1">
        <f t="shared" si="4"/>
        <v>2.5332406259436473E-24</v>
      </c>
      <c r="S53" s="1">
        <f t="shared" si="5"/>
        <v>1.5796153245193586E-12</v>
      </c>
    </row>
    <row r="54" spans="1:19" x14ac:dyDescent="0.3">
      <c r="A54" s="1">
        <v>4</v>
      </c>
      <c r="B54" s="1">
        <v>4</v>
      </c>
      <c r="C54" s="1">
        <v>96.494</v>
      </c>
      <c r="D54" s="1">
        <v>87.293999999999997</v>
      </c>
      <c r="E54" s="1">
        <v>32.652999999999999</v>
      </c>
      <c r="F54" s="1">
        <v>81.575999999999993</v>
      </c>
      <c r="G54" s="1">
        <v>74.372</v>
      </c>
      <c r="H54" s="1">
        <v>4.8129999999999997</v>
      </c>
      <c r="I54" s="1">
        <v>34631</v>
      </c>
      <c r="J54" s="1">
        <v>22420</v>
      </c>
      <c r="K54" s="1">
        <v>49644</v>
      </c>
      <c r="L54" s="1">
        <v>15390</v>
      </c>
      <c r="M54" s="1">
        <v>188.601</v>
      </c>
      <c r="N54" s="1">
        <f t="shared" si="0"/>
        <v>188.60100000000091</v>
      </c>
      <c r="O54" s="1">
        <f t="shared" si="1"/>
        <v>9.0949470177292824E-13</v>
      </c>
      <c r="P54" s="1">
        <f t="shared" si="2"/>
        <v>1.4779288903810084E-12</v>
      </c>
      <c r="Q54" s="1">
        <f t="shared" si="3"/>
        <v>-9.0949470177292824E-13</v>
      </c>
      <c r="R54" s="1">
        <f t="shared" si="4"/>
        <v>8.2718061255302767E-25</v>
      </c>
      <c r="S54" s="1">
        <f t="shared" si="5"/>
        <v>1.5781088577457172E-12</v>
      </c>
    </row>
    <row r="55" spans="1:19" x14ac:dyDescent="0.3">
      <c r="A55" s="1">
        <v>4</v>
      </c>
      <c r="B55" s="1">
        <v>5</v>
      </c>
      <c r="C55" s="1">
        <v>89.525999999999996</v>
      </c>
      <c r="D55" s="1">
        <v>99.756</v>
      </c>
      <c r="E55" s="1">
        <v>51.984999999999999</v>
      </c>
      <c r="F55" s="1">
        <v>51.93</v>
      </c>
      <c r="G55" s="1">
        <v>98.106999999999999</v>
      </c>
      <c r="H55" s="1">
        <v>12.74</v>
      </c>
      <c r="I55" s="1">
        <v>31850</v>
      </c>
      <c r="J55" s="1">
        <v>32150</v>
      </c>
      <c r="K55" s="1">
        <v>21573</v>
      </c>
      <c r="L55" s="1">
        <v>13807</v>
      </c>
      <c r="M55" s="1">
        <v>202.02199999999999</v>
      </c>
      <c r="N55" s="1">
        <f t="shared" si="0"/>
        <v>202.02200000000107</v>
      </c>
      <c r="O55" s="1">
        <f t="shared" si="1"/>
        <v>1.0800249583553523E-12</v>
      </c>
      <c r="P55" s="1">
        <f t="shared" si="2"/>
        <v>1.5591337744678769E-12</v>
      </c>
      <c r="Q55" s="1">
        <f t="shared" si="3"/>
        <v>-1.0800249583553523E-12</v>
      </c>
      <c r="R55" s="1">
        <f t="shared" si="4"/>
        <v>1.1664539106704804E-24</v>
      </c>
      <c r="S55" s="1">
        <f t="shared" si="5"/>
        <v>1.6516762015173258E-12</v>
      </c>
    </row>
    <row r="56" spans="1:19" x14ac:dyDescent="0.3">
      <c r="A56" s="1">
        <v>4</v>
      </c>
      <c r="B56" s="1">
        <v>6</v>
      </c>
      <c r="C56" s="1">
        <v>134.42500000000001</v>
      </c>
      <c r="D56" s="1">
        <v>79.084000000000003</v>
      </c>
      <c r="E56" s="1">
        <v>36.747999999999998</v>
      </c>
      <c r="F56" s="1">
        <v>71.352999999999994</v>
      </c>
      <c r="G56" s="1">
        <v>105.40799999999901</v>
      </c>
      <c r="H56" s="1">
        <v>0</v>
      </c>
      <c r="I56" s="1">
        <v>33970</v>
      </c>
      <c r="J56" s="1">
        <v>28701</v>
      </c>
      <c r="K56" s="1">
        <v>65199</v>
      </c>
      <c r="L56" s="1">
        <v>11023</v>
      </c>
      <c r="M56" s="1">
        <v>213.50899999999999</v>
      </c>
      <c r="N56" s="1">
        <f t="shared" si="0"/>
        <v>213.50900000000044</v>
      </c>
      <c r="O56" s="1">
        <f t="shared" si="1"/>
        <v>4.5474735088646412E-13</v>
      </c>
      <c r="P56" s="1">
        <f t="shared" si="2"/>
        <v>1.6389852438199644E-12</v>
      </c>
      <c r="Q56" s="1">
        <f t="shared" si="3"/>
        <v>-4.5474735088646412E-13</v>
      </c>
      <c r="R56" s="1">
        <f t="shared" si="4"/>
        <v>2.0679515313825692E-25</v>
      </c>
      <c r="S56" s="1">
        <f t="shared" si="5"/>
        <v>1.7286693346781908E-12</v>
      </c>
    </row>
    <row r="57" spans="1:19" x14ac:dyDescent="0.3">
      <c r="A57" s="1">
        <v>5</v>
      </c>
      <c r="B57" s="1">
        <v>2</v>
      </c>
      <c r="C57" s="1">
        <v>158.71600000000001</v>
      </c>
      <c r="D57" s="1">
        <v>158.13299999999899</v>
      </c>
      <c r="E57" s="1">
        <v>59.131</v>
      </c>
      <c r="F57" s="1">
        <v>92.638999999999996</v>
      </c>
      <c r="G57" s="1">
        <v>165.07900000000001</v>
      </c>
      <c r="H57" s="1">
        <v>0</v>
      </c>
      <c r="I57" s="1">
        <v>32027</v>
      </c>
      <c r="J57" s="1">
        <v>33282</v>
      </c>
      <c r="K57" s="1">
        <v>128269</v>
      </c>
      <c r="L57" s="1">
        <v>9287</v>
      </c>
      <c r="M57" s="1">
        <v>316.84899999999999</v>
      </c>
      <c r="N57" s="1">
        <f t="shared" si="0"/>
        <v>316.84900000000181</v>
      </c>
      <c r="O57" s="1">
        <f t="shared" si="1"/>
        <v>1.8189894035458565E-12</v>
      </c>
      <c r="P57" s="1">
        <f t="shared" si="2"/>
        <v>1.8758328224066645E-12</v>
      </c>
      <c r="Q57" s="1">
        <f t="shared" si="3"/>
        <v>-1.8189894035458565E-12</v>
      </c>
      <c r="R57" s="1">
        <f t="shared" si="4"/>
        <v>3.3087224502121107E-24</v>
      </c>
      <c r="S57" s="1">
        <f t="shared" si="5"/>
        <v>1.8827103260354301E-12</v>
      </c>
    </row>
    <row r="58" spans="1:19" x14ac:dyDescent="0.3">
      <c r="A58" s="1">
        <v>5</v>
      </c>
      <c r="B58" s="1">
        <v>3</v>
      </c>
      <c r="C58" s="1">
        <v>150.78399999999999</v>
      </c>
      <c r="D58" s="1">
        <v>133.06899999999999</v>
      </c>
      <c r="E58" s="1">
        <v>54.223999999999997</v>
      </c>
      <c r="F58" s="1">
        <v>115.746</v>
      </c>
      <c r="G58" s="1">
        <v>116.44199999999999</v>
      </c>
      <c r="H58" s="1">
        <v>2.5590000000000002</v>
      </c>
      <c r="I58" s="1">
        <v>51235</v>
      </c>
      <c r="J58" s="1">
        <v>34421</v>
      </c>
      <c r="K58" s="1">
        <v>87708</v>
      </c>
      <c r="L58" s="1">
        <v>11354</v>
      </c>
      <c r="M58" s="1">
        <v>286.41199999999998</v>
      </c>
      <c r="N58" s="1">
        <f t="shared" si="0"/>
        <v>286.41200000000157</v>
      </c>
      <c r="O58" s="1">
        <f t="shared" si="1"/>
        <v>1.5916157281026244E-12</v>
      </c>
      <c r="P58" s="1">
        <f t="shared" si="2"/>
        <v>1.8900436771218665E-12</v>
      </c>
      <c r="Q58" s="1">
        <f t="shared" si="3"/>
        <v>-1.5916157281026244E-12</v>
      </c>
      <c r="R58" s="1">
        <f t="shared" si="4"/>
        <v>2.5332406259436473E-24</v>
      </c>
      <c r="S58" s="1">
        <f t="shared" si="5"/>
        <v>1.8983063773130819E-12</v>
      </c>
    </row>
    <row r="59" spans="1:19" x14ac:dyDescent="0.3">
      <c r="A59" s="1">
        <v>5</v>
      </c>
      <c r="B59" s="1">
        <v>4</v>
      </c>
      <c r="C59" s="1">
        <v>193.53399999999999</v>
      </c>
      <c r="D59" s="1">
        <v>109.639</v>
      </c>
      <c r="E59" s="1">
        <v>58.378</v>
      </c>
      <c r="F59" s="1">
        <v>142.38200000000001</v>
      </c>
      <c r="G59" s="1">
        <v>102.687</v>
      </c>
      <c r="H59" s="1">
        <v>274</v>
      </c>
      <c r="I59" s="1">
        <v>28364</v>
      </c>
      <c r="J59" s="1">
        <v>88404</v>
      </c>
      <c r="K59" s="1">
        <v>91367</v>
      </c>
      <c r="L59" s="1">
        <v>15003</v>
      </c>
      <c r="M59" s="1">
        <v>303.447</v>
      </c>
      <c r="N59" s="1">
        <f t="shared" si="0"/>
        <v>303.44700000000199</v>
      </c>
      <c r="O59" s="1">
        <f t="shared" si="1"/>
        <v>1.9895196601282805E-12</v>
      </c>
      <c r="P59" s="1">
        <f t="shared" si="2"/>
        <v>1.9895196601282805E-12</v>
      </c>
      <c r="Q59" s="1">
        <f t="shared" si="3"/>
        <v>-1.9895196601282805E-12</v>
      </c>
      <c r="R59" s="1">
        <f t="shared" si="4"/>
        <v>3.9581884780369488E-24</v>
      </c>
      <c r="S59" s="1">
        <f t="shared" si="5"/>
        <v>1.9900609523870048E-12</v>
      </c>
    </row>
    <row r="60" spans="1:19" x14ac:dyDescent="0.3">
      <c r="A60" s="1">
        <v>5</v>
      </c>
      <c r="B60" s="1">
        <v>5</v>
      </c>
      <c r="C60" s="1">
        <v>196.55500000000001</v>
      </c>
      <c r="D60" s="1">
        <v>108.395</v>
      </c>
      <c r="E60" s="1">
        <v>76.763000000000005</v>
      </c>
      <c r="F60" s="1">
        <v>96.477999999999994</v>
      </c>
      <c r="G60" s="1">
        <v>131.709</v>
      </c>
      <c r="H60" s="1">
        <v>0</v>
      </c>
      <c r="I60" s="1">
        <v>37011</v>
      </c>
      <c r="J60" s="1">
        <v>109931</v>
      </c>
      <c r="K60" s="1">
        <v>50112</v>
      </c>
      <c r="L60" s="1">
        <v>12957</v>
      </c>
      <c r="M60" s="1">
        <v>304.95</v>
      </c>
      <c r="N60" s="1">
        <f t="shared" si="0"/>
        <v>304.95000000000192</v>
      </c>
      <c r="O60" s="1">
        <f t="shared" si="1"/>
        <v>1.9326762412674725E-12</v>
      </c>
      <c r="P60" s="1">
        <f t="shared" si="2"/>
        <v>1.9895196601282805E-12</v>
      </c>
      <c r="Q60" s="1">
        <f t="shared" si="3"/>
        <v>-1.9326762412674725E-12</v>
      </c>
      <c r="R60" s="1">
        <f t="shared" si="4"/>
        <v>3.7352374535597656E-24</v>
      </c>
      <c r="S60" s="1">
        <f t="shared" si="5"/>
        <v>1.9903315433125042E-12</v>
      </c>
    </row>
    <row r="61" spans="1:19" x14ac:dyDescent="0.3">
      <c r="A61" s="1">
        <v>5</v>
      </c>
      <c r="B61" s="1">
        <v>6</v>
      </c>
      <c r="C61" s="1">
        <v>192.11599999999899</v>
      </c>
      <c r="D61" s="1">
        <v>121.10599999999999</v>
      </c>
      <c r="E61" s="1">
        <v>107.568</v>
      </c>
      <c r="F61" s="1">
        <v>121.152</v>
      </c>
      <c r="G61" s="1">
        <v>103.18</v>
      </c>
      <c r="H61" s="1">
        <v>18.678000000000001</v>
      </c>
      <c r="I61" s="1">
        <v>27328</v>
      </c>
      <c r="J61" s="1">
        <v>108072</v>
      </c>
      <c r="K61" s="1">
        <v>56015</v>
      </c>
      <c r="L61" s="1">
        <v>10690</v>
      </c>
      <c r="M61" s="1">
        <v>331.9</v>
      </c>
      <c r="N61" s="1">
        <f t="shared" si="0"/>
        <v>331.90000000000202</v>
      </c>
      <c r="O61" s="1">
        <f t="shared" si="1"/>
        <v>2.0463630789890885E-12</v>
      </c>
      <c r="P61" s="1">
        <f t="shared" si="2"/>
        <v>2.0463630789890885E-12</v>
      </c>
      <c r="Q61" s="1">
        <f t="shared" si="3"/>
        <v>-2.0463630789890885E-12</v>
      </c>
      <c r="R61" s="1">
        <f t="shared" si="4"/>
        <v>4.1876018510497026E-24</v>
      </c>
      <c r="S61" s="1">
        <f t="shared" si="5"/>
        <v>2.0463630789890885E-12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0FED-AE41-4B7E-8C51-6DFEAC2CEDF7}">
  <dimension ref="A1:N61"/>
  <sheetViews>
    <sheetView workbookViewId="0">
      <selection activeCell="P7" sqref="P7"/>
    </sheetView>
  </sheetViews>
  <sheetFormatPr defaultRowHeight="14.4" x14ac:dyDescent="0.3"/>
  <cols>
    <col min="1" max="1" width="10.21875" style="1" customWidth="1"/>
    <col min="2" max="2" width="18.77734375" style="1" customWidth="1"/>
    <col min="3" max="3" width="11.88671875" style="1" customWidth="1"/>
    <col min="4" max="4" width="14" style="1" customWidth="1"/>
    <col min="5" max="5" width="13.5546875" style="1" customWidth="1"/>
    <col min="6" max="6" width="12.5546875" style="1" customWidth="1"/>
    <col min="7" max="7" width="11.5546875" style="1" customWidth="1"/>
    <col min="8" max="9" width="12.6640625" style="1" customWidth="1"/>
    <col min="10" max="10" width="15" style="1" customWidth="1"/>
    <col min="11" max="11" width="12.21875" style="1" customWidth="1"/>
    <col min="12" max="12" width="12.109375" style="1" customWidth="1"/>
    <col min="13" max="13" width="12" style="1" customWidth="1"/>
    <col min="14" max="14" width="13.33203125" style="1" customWidth="1"/>
    <col min="15" max="16384" width="8.88671875" style="1"/>
  </cols>
  <sheetData>
    <row r="1" spans="1:14" s="2" customFormat="1" ht="144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1">
        <v>0</v>
      </c>
      <c r="B2" s="1">
        <v>1</v>
      </c>
      <c r="C2" s="1">
        <v>4</v>
      </c>
      <c r="D2" s="1">
        <v>316.30700000000002</v>
      </c>
      <c r="E2" s="1">
        <v>223.27</v>
      </c>
      <c r="F2" s="1">
        <v>61.542999999999999</v>
      </c>
      <c r="G2" s="1">
        <v>175.58599999999899</v>
      </c>
      <c r="H2" s="1">
        <v>302.44799999999998</v>
      </c>
      <c r="I2" s="1">
        <v>0</v>
      </c>
      <c r="J2" s="1">
        <v>65556</v>
      </c>
      <c r="K2" s="1">
        <v>44914</v>
      </c>
      <c r="L2" s="1">
        <v>188411</v>
      </c>
      <c r="M2" s="1">
        <v>14793</v>
      </c>
      <c r="N2" s="1">
        <v>539.577</v>
      </c>
    </row>
    <row r="3" spans="1:14" x14ac:dyDescent="0.3">
      <c r="A3" s="1">
        <v>1</v>
      </c>
      <c r="B3" s="1">
        <v>1</v>
      </c>
      <c r="C3" s="1">
        <v>5</v>
      </c>
      <c r="D3" s="1">
        <v>128.63299999999899</v>
      </c>
      <c r="E3" s="1">
        <v>96.042000000000002</v>
      </c>
      <c r="F3" s="1">
        <v>38.058</v>
      </c>
      <c r="G3" s="1">
        <v>56.036999999999999</v>
      </c>
      <c r="H3" s="1">
        <v>130.58000000000001</v>
      </c>
      <c r="I3" s="1">
        <v>0</v>
      </c>
      <c r="J3" s="1">
        <v>40419</v>
      </c>
      <c r="K3" s="1">
        <v>21399</v>
      </c>
      <c r="L3" s="1">
        <v>89461</v>
      </c>
      <c r="M3" s="1">
        <v>7679</v>
      </c>
      <c r="N3" s="1">
        <v>224.67500000000001</v>
      </c>
    </row>
    <row r="4" spans="1:14" x14ac:dyDescent="0.3">
      <c r="A4" s="1">
        <v>2</v>
      </c>
      <c r="B4" s="1">
        <v>1</v>
      </c>
      <c r="C4" s="1">
        <v>6</v>
      </c>
      <c r="D4" s="1">
        <v>43.651000000000003</v>
      </c>
      <c r="E4" s="1">
        <v>84.375</v>
      </c>
      <c r="F4" s="1">
        <v>21.826000000000001</v>
      </c>
      <c r="G4" s="1">
        <v>25.125</v>
      </c>
      <c r="H4" s="1">
        <v>82.460999999999999</v>
      </c>
      <c r="I4" s="1">
        <v>1.3859999999999999</v>
      </c>
      <c r="J4" s="1">
        <v>11992</v>
      </c>
      <c r="K4" s="1">
        <v>3452</v>
      </c>
      <c r="L4" s="1">
        <v>21305</v>
      </c>
      <c r="M4" s="1">
        <v>14947</v>
      </c>
      <c r="N4" s="1">
        <v>129.41200000000001</v>
      </c>
    </row>
    <row r="5" spans="1:14" x14ac:dyDescent="0.3">
      <c r="A5" s="1">
        <v>3</v>
      </c>
      <c r="B5" s="1">
        <v>2</v>
      </c>
      <c r="C5" s="1">
        <v>2</v>
      </c>
      <c r="D5" s="1">
        <v>171.297</v>
      </c>
      <c r="E5" s="1">
        <v>127.667</v>
      </c>
      <c r="F5" s="1">
        <v>41.542000000000002</v>
      </c>
      <c r="G5" s="1">
        <v>113.294</v>
      </c>
      <c r="H5" s="1">
        <v>162.28399999999999</v>
      </c>
      <c r="I5" s="1">
        <v>18.155999999999999</v>
      </c>
      <c r="J5" s="1">
        <v>49971</v>
      </c>
      <c r="K5" s="1">
        <v>33703</v>
      </c>
      <c r="L5" s="1">
        <v>69054</v>
      </c>
      <c r="M5" s="1">
        <v>18423</v>
      </c>
      <c r="N5" s="1">
        <v>317.12</v>
      </c>
    </row>
    <row r="6" spans="1:14" x14ac:dyDescent="0.3">
      <c r="A6" s="1">
        <v>4</v>
      </c>
      <c r="B6" s="1">
        <v>2</v>
      </c>
      <c r="C6" s="1">
        <v>3</v>
      </c>
      <c r="D6" s="1">
        <v>90.531999999999996</v>
      </c>
      <c r="E6" s="1">
        <v>113.526</v>
      </c>
      <c r="F6" s="1">
        <v>37.679000000000002</v>
      </c>
      <c r="G6" s="1">
        <v>56.618000000000002</v>
      </c>
      <c r="H6" s="1">
        <v>116.22</v>
      </c>
      <c r="I6" s="1">
        <v>6.4589999999999996</v>
      </c>
      <c r="J6" s="1">
        <v>48534</v>
      </c>
      <c r="K6" s="1">
        <v>19646</v>
      </c>
      <c r="L6" s="1">
        <v>16411</v>
      </c>
      <c r="M6" s="1">
        <v>20257</v>
      </c>
      <c r="N6" s="1">
        <v>210.517</v>
      </c>
    </row>
    <row r="7" spans="1:14" x14ac:dyDescent="0.3">
      <c r="A7" s="1">
        <v>5</v>
      </c>
      <c r="B7" s="1">
        <v>2</v>
      </c>
      <c r="C7" s="1">
        <v>4</v>
      </c>
      <c r="D7" s="1">
        <v>110.925</v>
      </c>
      <c r="E7" s="1">
        <v>96.36</v>
      </c>
      <c r="F7" s="1">
        <v>30.791999999999899</v>
      </c>
      <c r="G7" s="1">
        <v>50.703999999999901</v>
      </c>
      <c r="H7" s="1">
        <v>125.86799999999999</v>
      </c>
      <c r="I7" s="1">
        <v>79</v>
      </c>
      <c r="J7" s="1">
        <v>52042</v>
      </c>
      <c r="K7" s="1">
        <v>8773</v>
      </c>
      <c r="L7" s="1">
        <v>47522</v>
      </c>
      <c r="M7" s="1">
        <v>24966</v>
      </c>
      <c r="N7" s="1">
        <v>207.364</v>
      </c>
    </row>
    <row r="8" spans="1:14" x14ac:dyDescent="0.3">
      <c r="A8" s="1">
        <v>6</v>
      </c>
      <c r="B8" s="1">
        <v>2</v>
      </c>
      <c r="C8" s="1">
        <v>5</v>
      </c>
      <c r="D8" s="1">
        <v>144.124</v>
      </c>
      <c r="E8" s="1">
        <v>118.919</v>
      </c>
      <c r="F8" s="1">
        <v>43.303999999999903</v>
      </c>
      <c r="G8" s="1">
        <v>66.370999999999995</v>
      </c>
      <c r="H8" s="1">
        <v>153.36799999999999</v>
      </c>
      <c r="I8" s="1">
        <v>0</v>
      </c>
      <c r="J8" s="1">
        <v>46573</v>
      </c>
      <c r="K8" s="1">
        <v>33597</v>
      </c>
      <c r="L8" s="1">
        <v>48269</v>
      </c>
      <c r="M8" s="1">
        <v>20973</v>
      </c>
      <c r="N8" s="1">
        <v>263.04300000000001</v>
      </c>
    </row>
    <row r="9" spans="1:14" x14ac:dyDescent="0.3">
      <c r="A9" s="1">
        <v>7</v>
      </c>
      <c r="B9" s="1">
        <v>2</v>
      </c>
      <c r="C9" s="1">
        <v>6</v>
      </c>
      <c r="D9" s="1">
        <v>119.378999999999</v>
      </c>
      <c r="E9" s="1">
        <v>113.87</v>
      </c>
      <c r="F9" s="1">
        <v>38.584000000000003</v>
      </c>
      <c r="G9" s="1">
        <v>85.960999999999999</v>
      </c>
      <c r="H9" s="1">
        <v>124.413</v>
      </c>
      <c r="I9" s="1">
        <v>15.709</v>
      </c>
      <c r="J9" s="1">
        <v>35033</v>
      </c>
      <c r="K9" s="1">
        <v>26278</v>
      </c>
      <c r="L9" s="1">
        <v>56665</v>
      </c>
      <c r="M9" s="1">
        <v>18502</v>
      </c>
      <c r="N9" s="1">
        <v>248.958</v>
      </c>
    </row>
    <row r="10" spans="1:14" x14ac:dyDescent="0.3">
      <c r="A10" s="1">
        <v>8</v>
      </c>
      <c r="B10" s="1">
        <v>3</v>
      </c>
      <c r="C10" s="1">
        <v>2</v>
      </c>
      <c r="D10" s="1">
        <v>218.85599999999999</v>
      </c>
      <c r="E10" s="1">
        <v>124.381</v>
      </c>
      <c r="F10" s="1">
        <v>33.972999999999999</v>
      </c>
      <c r="G10" s="1">
        <v>148.274</v>
      </c>
      <c r="H10" s="1">
        <v>162.04399999999899</v>
      </c>
      <c r="I10" s="1">
        <v>1.054</v>
      </c>
      <c r="J10" s="1">
        <v>66612</v>
      </c>
      <c r="K10" s="1">
        <v>19461</v>
      </c>
      <c r="L10" s="1">
        <v>103376</v>
      </c>
      <c r="M10" s="1">
        <v>10458</v>
      </c>
      <c r="N10" s="1">
        <v>344.291</v>
      </c>
    </row>
    <row r="11" spans="1:14" x14ac:dyDescent="0.3">
      <c r="A11" s="1">
        <v>9</v>
      </c>
      <c r="B11" s="1">
        <v>3</v>
      </c>
      <c r="C11" s="1">
        <v>3</v>
      </c>
      <c r="D11" s="1">
        <v>146.518</v>
      </c>
      <c r="E11" s="1">
        <v>101.045</v>
      </c>
      <c r="F11" s="1">
        <v>36.399000000000001</v>
      </c>
      <c r="G11" s="1">
        <v>43.305999999999997</v>
      </c>
      <c r="H11" s="1">
        <v>168.72299999999899</v>
      </c>
      <c r="I11" s="1">
        <v>865</v>
      </c>
      <c r="J11" s="1">
        <v>58224</v>
      </c>
      <c r="K11" s="1">
        <v>7742</v>
      </c>
      <c r="L11" s="1">
        <v>82395</v>
      </c>
      <c r="M11" s="1">
        <v>11948</v>
      </c>
      <c r="N11" s="1">
        <v>248.428</v>
      </c>
    </row>
    <row r="12" spans="1:14" x14ac:dyDescent="0.3">
      <c r="A12" s="1">
        <v>10</v>
      </c>
      <c r="B12" s="1">
        <v>3</v>
      </c>
      <c r="C12" s="1">
        <v>4</v>
      </c>
      <c r="D12" s="1">
        <v>178.43299999999999</v>
      </c>
      <c r="E12" s="1">
        <v>102.792999999999</v>
      </c>
      <c r="F12" s="1">
        <v>45.706000000000003</v>
      </c>
      <c r="G12" s="1">
        <v>111.036</v>
      </c>
      <c r="H12" s="1">
        <v>124.678</v>
      </c>
      <c r="I12" s="1">
        <v>194</v>
      </c>
      <c r="J12" s="1">
        <v>47046</v>
      </c>
      <c r="K12" s="1">
        <v>17299</v>
      </c>
      <c r="L12" s="1">
        <v>108719</v>
      </c>
      <c r="M12" s="1">
        <v>15560</v>
      </c>
      <c r="N12" s="1">
        <v>281.42</v>
      </c>
    </row>
    <row r="13" spans="1:14" x14ac:dyDescent="0.3">
      <c r="A13" s="1">
        <v>11</v>
      </c>
      <c r="B13" s="1">
        <v>3</v>
      </c>
      <c r="C13" s="1">
        <v>5</v>
      </c>
      <c r="D13" s="1">
        <v>145.86500000000001</v>
      </c>
      <c r="E13" s="1">
        <v>91.18</v>
      </c>
      <c r="F13" s="1">
        <v>43.850999999999999</v>
      </c>
      <c r="G13" s="1">
        <v>66.277000000000001</v>
      </c>
      <c r="H13" s="1">
        <v>133.44</v>
      </c>
      <c r="I13" s="1">
        <v>6.5229999999999997</v>
      </c>
      <c r="J13" s="1">
        <v>66910</v>
      </c>
      <c r="K13" s="1">
        <v>17768</v>
      </c>
      <c r="L13" s="1">
        <v>36693</v>
      </c>
      <c r="M13" s="1">
        <v>29046</v>
      </c>
      <c r="N13" s="1">
        <v>243.56799999999899</v>
      </c>
    </row>
    <row r="14" spans="1:14" x14ac:dyDescent="0.3">
      <c r="A14" s="1">
        <v>12</v>
      </c>
      <c r="B14" s="1">
        <v>3</v>
      </c>
      <c r="C14" s="1">
        <v>6</v>
      </c>
      <c r="D14" s="1">
        <v>170.56599999999901</v>
      </c>
      <c r="E14" s="1">
        <v>114.41200000000001</v>
      </c>
      <c r="F14" s="1">
        <v>43.338999999999999</v>
      </c>
      <c r="G14" s="1">
        <v>136.434</v>
      </c>
      <c r="H14" s="1">
        <v>128.405</v>
      </c>
      <c r="I14" s="1">
        <v>23.2</v>
      </c>
      <c r="J14" s="1">
        <v>32529</v>
      </c>
      <c r="K14" s="1">
        <v>34002</v>
      </c>
      <c r="L14" s="1">
        <v>78153</v>
      </c>
      <c r="M14" s="1">
        <v>31949</v>
      </c>
      <c r="N14" s="1">
        <v>308.178</v>
      </c>
    </row>
    <row r="15" spans="1:14" x14ac:dyDescent="0.3">
      <c r="A15" s="1">
        <v>13</v>
      </c>
      <c r="B15" s="1">
        <v>4</v>
      </c>
      <c r="C15" s="1">
        <v>2</v>
      </c>
      <c r="D15" s="1">
        <v>220.34299999999999</v>
      </c>
      <c r="E15" s="1">
        <v>141.40600000000001</v>
      </c>
      <c r="F15" s="1">
        <v>46.241</v>
      </c>
      <c r="G15" s="1">
        <v>120.86499999999999</v>
      </c>
      <c r="H15" s="1">
        <v>196.29599999999999</v>
      </c>
      <c r="I15" s="1">
        <v>1.653</v>
      </c>
      <c r="J15" s="1">
        <v>34878</v>
      </c>
      <c r="K15" s="1">
        <v>32905</v>
      </c>
      <c r="L15" s="1">
        <v>117137</v>
      </c>
      <c r="M15" s="1">
        <v>29188</v>
      </c>
      <c r="N15" s="1">
        <v>363.40199999999999</v>
      </c>
    </row>
    <row r="16" spans="1:14" x14ac:dyDescent="0.3">
      <c r="A16" s="1">
        <v>14</v>
      </c>
      <c r="B16" s="1">
        <v>4</v>
      </c>
      <c r="C16" s="1">
        <v>3</v>
      </c>
      <c r="D16" s="1">
        <v>193.768</v>
      </c>
      <c r="E16" s="1">
        <v>141.85399999999899</v>
      </c>
      <c r="F16" s="1">
        <v>56.518999999999998</v>
      </c>
      <c r="G16" s="1">
        <v>136.709</v>
      </c>
      <c r="H16" s="1">
        <v>143.64400000000001</v>
      </c>
      <c r="I16" s="1">
        <v>1.25</v>
      </c>
      <c r="J16" s="1">
        <v>57858</v>
      </c>
      <c r="K16" s="1">
        <v>23956</v>
      </c>
      <c r="L16" s="1">
        <v>101048</v>
      </c>
      <c r="M16" s="1">
        <v>30134</v>
      </c>
      <c r="N16" s="1">
        <v>336.87199999999899</v>
      </c>
    </row>
    <row r="17" spans="1:14" x14ac:dyDescent="0.3">
      <c r="A17" s="1">
        <v>15</v>
      </c>
      <c r="B17" s="1">
        <v>4</v>
      </c>
      <c r="C17" s="1">
        <v>4</v>
      </c>
      <c r="D17" s="1">
        <v>122.736</v>
      </c>
      <c r="E17" s="1">
        <v>124.256</v>
      </c>
      <c r="F17" s="1">
        <v>56.167000000000002</v>
      </c>
      <c r="G17" s="1">
        <v>78.100999999999999</v>
      </c>
      <c r="H17" s="1">
        <v>112.72399999999899</v>
      </c>
      <c r="I17" s="1">
        <v>0</v>
      </c>
      <c r="J17" s="1">
        <v>52321</v>
      </c>
      <c r="K17" s="1">
        <v>10046</v>
      </c>
      <c r="L17" s="1">
        <v>62799</v>
      </c>
      <c r="M17" s="1">
        <v>24233</v>
      </c>
      <c r="N17" s="1">
        <v>246.99199999999999</v>
      </c>
    </row>
    <row r="18" spans="1:14" x14ac:dyDescent="0.3">
      <c r="A18" s="1">
        <v>16</v>
      </c>
      <c r="B18" s="1">
        <v>4</v>
      </c>
      <c r="C18" s="1">
        <v>5</v>
      </c>
      <c r="D18" s="1">
        <v>144.05099999999999</v>
      </c>
      <c r="E18" s="1">
        <v>158.40799999999999</v>
      </c>
      <c r="F18" s="1">
        <v>51.66</v>
      </c>
      <c r="G18" s="1">
        <v>92.272000000000006</v>
      </c>
      <c r="H18" s="1">
        <v>164.94799999999901</v>
      </c>
      <c r="I18" s="1">
        <v>6.4210000000000003</v>
      </c>
      <c r="J18" s="1">
        <v>47167</v>
      </c>
      <c r="K18" s="1">
        <v>6440</v>
      </c>
      <c r="L18" s="1">
        <v>91784</v>
      </c>
      <c r="M18" s="1">
        <v>15973</v>
      </c>
      <c r="N18" s="1">
        <v>308.88</v>
      </c>
    </row>
    <row r="19" spans="1:14" x14ac:dyDescent="0.3">
      <c r="A19" s="1">
        <v>17</v>
      </c>
      <c r="B19" s="1">
        <v>4</v>
      </c>
      <c r="C19" s="1">
        <v>6</v>
      </c>
      <c r="D19" s="1">
        <v>105.41500000000001</v>
      </c>
      <c r="E19" s="1">
        <v>108.68799999999899</v>
      </c>
      <c r="F19" s="1">
        <v>47.716999999999999</v>
      </c>
      <c r="G19" s="1">
        <v>71.473999999999904</v>
      </c>
      <c r="H19" s="1">
        <v>113.935</v>
      </c>
      <c r="I19" s="1">
        <v>19.023</v>
      </c>
      <c r="J19" s="1">
        <v>42737</v>
      </c>
      <c r="K19" s="1">
        <v>26020</v>
      </c>
      <c r="L19" s="1">
        <v>27873</v>
      </c>
      <c r="M19" s="1">
        <v>17600</v>
      </c>
      <c r="N19" s="1">
        <v>233.12599999999901</v>
      </c>
    </row>
    <row r="20" spans="1:14" x14ac:dyDescent="0.3">
      <c r="A20" s="1">
        <v>18</v>
      </c>
      <c r="B20" s="1">
        <v>5</v>
      </c>
      <c r="C20" s="1">
        <v>2</v>
      </c>
      <c r="D20" s="1">
        <v>240.66</v>
      </c>
      <c r="E20" s="1">
        <v>163.72</v>
      </c>
      <c r="F20" s="1">
        <v>59.134999999999998</v>
      </c>
      <c r="G20" s="1">
        <v>157.68100000000001</v>
      </c>
      <c r="H20" s="1">
        <v>187.56399999999999</v>
      </c>
      <c r="I20" s="1">
        <v>0</v>
      </c>
      <c r="J20" s="1">
        <v>39273</v>
      </c>
      <c r="K20" s="1">
        <v>32917</v>
      </c>
      <c r="L20" s="1">
        <v>155617</v>
      </c>
      <c r="M20" s="1">
        <v>9203</v>
      </c>
      <c r="N20" s="1">
        <v>404.38</v>
      </c>
    </row>
    <row r="21" spans="1:14" x14ac:dyDescent="0.3">
      <c r="A21" s="1">
        <v>19</v>
      </c>
      <c r="B21" s="1">
        <v>1</v>
      </c>
      <c r="C21" s="1">
        <v>3</v>
      </c>
      <c r="D21" s="1">
        <v>131.06700000000001</v>
      </c>
      <c r="E21" s="1">
        <v>166.649</v>
      </c>
      <c r="F21" s="1">
        <v>90.475999999999999</v>
      </c>
      <c r="G21" s="1">
        <v>80.509</v>
      </c>
      <c r="H21" s="1">
        <v>127.575</v>
      </c>
      <c r="I21" s="1">
        <v>844</v>
      </c>
      <c r="J21" s="1">
        <v>60543</v>
      </c>
      <c r="K21" s="1">
        <v>19141</v>
      </c>
      <c r="L21" s="1">
        <v>78378</v>
      </c>
      <c r="M21" s="1">
        <v>73839</v>
      </c>
      <c r="N21" s="1">
        <v>298.56</v>
      </c>
    </row>
    <row r="22" spans="1:14" x14ac:dyDescent="0.3">
      <c r="A22" s="1">
        <v>20</v>
      </c>
      <c r="B22" s="1">
        <v>1</v>
      </c>
      <c r="C22" s="1">
        <v>4</v>
      </c>
      <c r="D22" s="1">
        <v>130.12899999999999</v>
      </c>
      <c r="E22" s="1">
        <v>98.927000000000007</v>
      </c>
      <c r="F22" s="1">
        <v>42.903999999999897</v>
      </c>
      <c r="G22" s="1">
        <v>43.961999999999897</v>
      </c>
      <c r="H22" s="1">
        <v>142.38299999999899</v>
      </c>
      <c r="I22" s="1">
        <v>193</v>
      </c>
      <c r="J22" s="1">
        <v>54760</v>
      </c>
      <c r="K22" s="1">
        <v>9163</v>
      </c>
      <c r="L22" s="1">
        <v>29874</v>
      </c>
      <c r="M22" s="1">
        <v>46992</v>
      </c>
      <c r="N22" s="1">
        <v>229.249</v>
      </c>
    </row>
    <row r="23" spans="1:14" x14ac:dyDescent="0.3">
      <c r="A23" s="1">
        <v>21</v>
      </c>
      <c r="B23" s="1">
        <v>1</v>
      </c>
      <c r="C23" s="1">
        <v>5</v>
      </c>
      <c r="D23" s="1">
        <v>123.286</v>
      </c>
      <c r="E23" s="1">
        <v>103.551</v>
      </c>
      <c r="F23" s="1">
        <v>47.331000000000003</v>
      </c>
      <c r="G23" s="1">
        <v>72.444000000000003</v>
      </c>
      <c r="H23" s="1">
        <v>116.529</v>
      </c>
      <c r="I23" s="1">
        <v>9.4670000000000005</v>
      </c>
      <c r="J23" s="1">
        <v>48732</v>
      </c>
      <c r="K23" s="1">
        <v>21196</v>
      </c>
      <c r="L23" s="1">
        <v>47793</v>
      </c>
      <c r="M23" s="1">
        <v>47574</v>
      </c>
      <c r="N23" s="1">
        <v>236.304</v>
      </c>
    </row>
    <row r="24" spans="1:14" x14ac:dyDescent="0.3">
      <c r="A24" s="1">
        <v>22</v>
      </c>
      <c r="B24" s="1">
        <v>1</v>
      </c>
      <c r="C24" s="1">
        <v>6</v>
      </c>
      <c r="D24" s="1">
        <v>190.81599999999901</v>
      </c>
      <c r="E24" s="1">
        <v>87.628999999999905</v>
      </c>
      <c r="F24" s="1">
        <v>32.076999999999998</v>
      </c>
      <c r="G24" s="1">
        <v>127.357999999999</v>
      </c>
      <c r="H24" s="1">
        <v>137.739</v>
      </c>
      <c r="I24" s="1">
        <v>18.728999999999999</v>
      </c>
      <c r="J24" s="1">
        <v>46368</v>
      </c>
      <c r="K24" s="1">
        <v>36798</v>
      </c>
      <c r="L24" s="1">
        <v>92701</v>
      </c>
      <c r="M24" s="1">
        <v>31098</v>
      </c>
      <c r="N24" s="1">
        <v>297.17399999999998</v>
      </c>
    </row>
    <row r="25" spans="1:14" x14ac:dyDescent="0.3">
      <c r="A25" s="1">
        <v>23</v>
      </c>
      <c r="B25" s="1">
        <v>2</v>
      </c>
      <c r="C25" s="1">
        <v>2</v>
      </c>
      <c r="D25" s="1">
        <v>266.74099999999999</v>
      </c>
      <c r="E25" s="1">
        <v>141.43700000000001</v>
      </c>
      <c r="F25" s="1">
        <v>58.720999999999997</v>
      </c>
      <c r="G25" s="1">
        <v>139.03399999999999</v>
      </c>
      <c r="H25" s="1">
        <v>211.64599999999999</v>
      </c>
      <c r="I25" s="1">
        <v>1.2229999999999901</v>
      </c>
      <c r="J25" s="1">
        <v>58081</v>
      </c>
      <c r="K25" s="1">
        <v>43333</v>
      </c>
      <c r="L25" s="1">
        <v>135314</v>
      </c>
      <c r="M25" s="1">
        <v>29716</v>
      </c>
      <c r="N25" s="1">
        <v>409.40100000000001</v>
      </c>
    </row>
    <row r="26" spans="1:14" x14ac:dyDescent="0.3">
      <c r="A26" s="1">
        <v>24</v>
      </c>
      <c r="B26" s="1">
        <v>2</v>
      </c>
      <c r="C26" s="1">
        <v>3</v>
      </c>
      <c r="D26" s="1">
        <v>123.14299999999901</v>
      </c>
      <c r="E26" s="1">
        <v>106.083</v>
      </c>
      <c r="F26" s="1">
        <v>36.016999999999904</v>
      </c>
      <c r="G26" s="1">
        <v>75.813000000000002</v>
      </c>
      <c r="H26" s="1">
        <v>119.205</v>
      </c>
      <c r="I26" s="1">
        <v>1.8089999999999999</v>
      </c>
      <c r="J26" s="1">
        <v>45340</v>
      </c>
      <c r="K26" s="1">
        <v>22109</v>
      </c>
      <c r="L26" s="1">
        <v>55584</v>
      </c>
      <c r="M26" s="1">
        <v>29803</v>
      </c>
      <c r="N26" s="1">
        <v>231.035</v>
      </c>
    </row>
    <row r="27" spans="1:14" x14ac:dyDescent="0.3">
      <c r="A27" s="1">
        <v>25</v>
      </c>
      <c r="B27" s="1">
        <v>2</v>
      </c>
      <c r="C27" s="1">
        <v>4</v>
      </c>
      <c r="D27" s="1">
        <v>148.13900000000001</v>
      </c>
      <c r="E27" s="1">
        <v>85.31</v>
      </c>
      <c r="F27" s="1">
        <v>35.576000000000001</v>
      </c>
      <c r="G27" s="1">
        <v>79.997</v>
      </c>
      <c r="H27" s="1">
        <v>123.25299999999901</v>
      </c>
      <c r="I27" s="1">
        <v>5.3769999999999998</v>
      </c>
      <c r="J27" s="1">
        <v>59686</v>
      </c>
      <c r="K27" s="1">
        <v>14188</v>
      </c>
      <c r="L27" s="1">
        <v>67617</v>
      </c>
      <c r="M27" s="1">
        <v>32319</v>
      </c>
      <c r="N27" s="1">
        <v>238.82599999999999</v>
      </c>
    </row>
    <row r="28" spans="1:14" x14ac:dyDescent="0.3">
      <c r="A28" s="1">
        <v>26</v>
      </c>
      <c r="B28" s="1">
        <v>2</v>
      </c>
      <c r="C28" s="1">
        <v>5</v>
      </c>
      <c r="D28" s="1">
        <v>118.55200000000001</v>
      </c>
      <c r="E28" s="1">
        <v>100.417</v>
      </c>
      <c r="F28" s="1">
        <v>54.401000000000003</v>
      </c>
      <c r="G28" s="1">
        <v>75.613</v>
      </c>
      <c r="H28" s="1">
        <v>105.584</v>
      </c>
      <c r="I28" s="1">
        <v>16.629000000000001</v>
      </c>
      <c r="J28" s="1">
        <v>40423</v>
      </c>
      <c r="K28" s="1">
        <v>24682</v>
      </c>
      <c r="L28" s="1">
        <v>47563</v>
      </c>
      <c r="M28" s="1">
        <v>35314</v>
      </c>
      <c r="N28" s="1">
        <v>235.59799999999899</v>
      </c>
    </row>
    <row r="29" spans="1:14" x14ac:dyDescent="0.3">
      <c r="A29" s="1">
        <v>27</v>
      </c>
      <c r="B29" s="1">
        <v>2</v>
      </c>
      <c r="C29" s="1">
        <v>6</v>
      </c>
      <c r="D29" s="1">
        <v>146.959</v>
      </c>
      <c r="E29" s="1">
        <v>95.152999999999906</v>
      </c>
      <c r="F29" s="1">
        <v>37.655999999999999</v>
      </c>
      <c r="G29" s="1">
        <v>59.906999999999996</v>
      </c>
      <c r="H29" s="1">
        <v>144.54900000000001</v>
      </c>
      <c r="I29" s="1">
        <v>0</v>
      </c>
      <c r="J29" s="1">
        <v>50908</v>
      </c>
      <c r="K29" s="1">
        <v>45733</v>
      </c>
      <c r="L29" s="1">
        <v>43930</v>
      </c>
      <c r="M29" s="1">
        <v>28998</v>
      </c>
      <c r="N29" s="1">
        <v>242.11199999999999</v>
      </c>
    </row>
    <row r="30" spans="1:14" x14ac:dyDescent="0.3">
      <c r="A30" s="1">
        <v>28</v>
      </c>
      <c r="B30" s="1">
        <v>3</v>
      </c>
      <c r="C30" s="1">
        <v>2</v>
      </c>
      <c r="D30" s="1">
        <v>299.77</v>
      </c>
      <c r="E30" s="1">
        <v>133.375</v>
      </c>
      <c r="F30" s="1">
        <v>57.81</v>
      </c>
      <c r="G30" s="1">
        <v>236.24799999999999</v>
      </c>
      <c r="H30" s="1">
        <v>196.732</v>
      </c>
      <c r="I30" s="1">
        <v>57.645000000000003</v>
      </c>
      <c r="J30" s="1">
        <v>71772</v>
      </c>
      <c r="K30" s="1">
        <v>57756</v>
      </c>
      <c r="L30" s="1">
        <v>159373</v>
      </c>
      <c r="M30" s="1">
        <v>29160</v>
      </c>
      <c r="N30" s="1">
        <v>490.79</v>
      </c>
    </row>
    <row r="31" spans="1:14" x14ac:dyDescent="0.3">
      <c r="A31" s="1">
        <v>29</v>
      </c>
      <c r="B31" s="1">
        <v>3</v>
      </c>
      <c r="C31" s="1">
        <v>3</v>
      </c>
      <c r="D31" s="1">
        <v>151.34100000000001</v>
      </c>
      <c r="E31" s="1">
        <v>131.78799999999899</v>
      </c>
      <c r="F31" s="1">
        <v>43.358999999999902</v>
      </c>
      <c r="G31" s="1">
        <v>89.382000000000005</v>
      </c>
      <c r="H31" s="1">
        <v>156.916</v>
      </c>
      <c r="I31" s="1">
        <v>6.5279999999999996</v>
      </c>
      <c r="J31" s="1">
        <v>53573</v>
      </c>
      <c r="K31" s="1">
        <v>42638</v>
      </c>
      <c r="L31" s="1">
        <v>62732</v>
      </c>
      <c r="M31" s="1">
        <v>32386</v>
      </c>
      <c r="N31" s="1">
        <v>289.65699999999998</v>
      </c>
    </row>
    <row r="32" spans="1:14" x14ac:dyDescent="0.3">
      <c r="A32" s="1">
        <v>30</v>
      </c>
      <c r="B32" s="1">
        <v>3</v>
      </c>
      <c r="C32" s="1">
        <v>4</v>
      </c>
      <c r="D32" s="1">
        <v>206.20599999999999</v>
      </c>
      <c r="E32" s="1">
        <v>92.16</v>
      </c>
      <c r="F32" s="1">
        <v>45.555</v>
      </c>
      <c r="G32" s="1">
        <v>148.71799999999999</v>
      </c>
      <c r="H32" s="1">
        <v>104.18600000000001</v>
      </c>
      <c r="I32" s="1">
        <v>93</v>
      </c>
      <c r="J32" s="1">
        <v>49110</v>
      </c>
      <c r="K32" s="1">
        <v>36904</v>
      </c>
      <c r="L32" s="1">
        <v>126632</v>
      </c>
      <c r="M32" s="1">
        <v>33237</v>
      </c>
      <c r="N32" s="1">
        <v>298.459</v>
      </c>
    </row>
    <row r="33" spans="1:14" x14ac:dyDescent="0.3">
      <c r="A33" s="1">
        <v>31</v>
      </c>
      <c r="B33" s="1">
        <v>3</v>
      </c>
      <c r="C33" s="1">
        <v>5</v>
      </c>
      <c r="D33" s="1">
        <v>170.86799999999999</v>
      </c>
      <c r="E33" s="1">
        <v>131.46299999999999</v>
      </c>
      <c r="F33" s="1">
        <v>45.55</v>
      </c>
      <c r="G33" s="1">
        <v>120.54799999999901</v>
      </c>
      <c r="H33" s="1">
        <v>157.505</v>
      </c>
      <c r="I33" s="1">
        <v>21.271999999999998</v>
      </c>
      <c r="J33" s="1">
        <v>42534</v>
      </c>
      <c r="K33" s="1">
        <v>79556</v>
      </c>
      <c r="L33" s="1">
        <v>50433</v>
      </c>
      <c r="M33" s="1">
        <v>36483</v>
      </c>
      <c r="N33" s="1">
        <v>323.60300000000001</v>
      </c>
    </row>
    <row r="34" spans="1:14" x14ac:dyDescent="0.3">
      <c r="A34" s="1">
        <v>32</v>
      </c>
      <c r="B34" s="1">
        <v>4</v>
      </c>
      <c r="C34" s="1">
        <v>3</v>
      </c>
      <c r="D34" s="1">
        <v>435.30399999999997</v>
      </c>
      <c r="E34" s="1">
        <v>181.149</v>
      </c>
      <c r="F34" s="1">
        <v>67.884</v>
      </c>
      <c r="G34" s="1">
        <v>267.34199999999998</v>
      </c>
      <c r="H34" s="1">
        <v>281.22699999999998</v>
      </c>
      <c r="I34" s="1">
        <v>0</v>
      </c>
      <c r="J34" s="1">
        <v>64867</v>
      </c>
      <c r="K34" s="1">
        <v>210508</v>
      </c>
      <c r="L34" s="1">
        <v>177229</v>
      </c>
      <c r="M34" s="1">
        <v>30514</v>
      </c>
      <c r="N34" s="1">
        <v>616.45299999999997</v>
      </c>
    </row>
    <row r="35" spans="1:14" x14ac:dyDescent="0.3">
      <c r="A35" s="1">
        <v>33</v>
      </c>
      <c r="B35" s="1">
        <v>4</v>
      </c>
      <c r="C35" s="1">
        <v>4</v>
      </c>
      <c r="D35" s="1">
        <v>235.10599999999999</v>
      </c>
      <c r="E35" s="1">
        <v>110.874</v>
      </c>
      <c r="F35" s="1">
        <v>70.376000000000005</v>
      </c>
      <c r="G35" s="1">
        <v>154.24199999999999</v>
      </c>
      <c r="H35" s="1">
        <v>121.417</v>
      </c>
      <c r="I35" s="1">
        <v>55</v>
      </c>
      <c r="J35" s="1">
        <v>23257</v>
      </c>
      <c r="K35" s="1">
        <v>163452</v>
      </c>
      <c r="L35" s="1">
        <v>63699</v>
      </c>
      <c r="M35" s="1">
        <v>33805</v>
      </c>
      <c r="N35" s="1">
        <v>346.03500000000003</v>
      </c>
    </row>
    <row r="36" spans="1:14" x14ac:dyDescent="0.3">
      <c r="A36" s="1">
        <v>34</v>
      </c>
      <c r="B36" s="1">
        <v>4</v>
      </c>
      <c r="C36" s="1">
        <v>5</v>
      </c>
      <c r="D36" s="1">
        <v>168.179</v>
      </c>
      <c r="E36" s="1">
        <v>125.119</v>
      </c>
      <c r="F36" s="1">
        <v>71.067999999999998</v>
      </c>
      <c r="G36" s="1">
        <v>100.544</v>
      </c>
      <c r="H36" s="1">
        <v>136.03299999999999</v>
      </c>
      <c r="I36" s="1">
        <v>14.347</v>
      </c>
      <c r="J36" s="1">
        <v>28072</v>
      </c>
      <c r="K36" s="1">
        <v>95989</v>
      </c>
      <c r="L36" s="1">
        <v>50763</v>
      </c>
      <c r="M36" s="1">
        <v>55445</v>
      </c>
      <c r="N36" s="1">
        <v>307.64499999999998</v>
      </c>
    </row>
    <row r="37" spans="1:14" x14ac:dyDescent="0.3">
      <c r="A37" s="1">
        <v>35</v>
      </c>
      <c r="B37" s="1">
        <v>4</v>
      </c>
      <c r="C37" s="1">
        <v>6</v>
      </c>
      <c r="D37" s="1">
        <v>172.78299999999999</v>
      </c>
      <c r="E37" s="1">
        <v>77.370999999999995</v>
      </c>
      <c r="F37" s="1">
        <v>64.137</v>
      </c>
      <c r="G37" s="1">
        <v>109.062</v>
      </c>
      <c r="H37" s="1">
        <v>80.647999999999996</v>
      </c>
      <c r="I37" s="1">
        <v>3.6930000000000001</v>
      </c>
      <c r="J37" s="1">
        <v>46321</v>
      </c>
      <c r="K37" s="1">
        <v>66498</v>
      </c>
      <c r="L37" s="1">
        <v>61593</v>
      </c>
      <c r="M37" s="1">
        <v>31625</v>
      </c>
      <c r="N37" s="1">
        <v>253.84700000000001</v>
      </c>
    </row>
    <row r="38" spans="1:14" x14ac:dyDescent="0.3">
      <c r="A38" s="1">
        <v>36</v>
      </c>
      <c r="B38" s="1">
        <v>5</v>
      </c>
      <c r="C38" s="1">
        <v>2</v>
      </c>
      <c r="D38" s="1">
        <v>381.76799999999997</v>
      </c>
      <c r="E38" s="1">
        <v>140.041</v>
      </c>
      <c r="F38" s="1">
        <v>118.178</v>
      </c>
      <c r="G38" s="1">
        <v>260.63200000000001</v>
      </c>
      <c r="H38" s="1">
        <v>152.13399999999999</v>
      </c>
      <c r="I38" s="1">
        <v>9.1349999999999998</v>
      </c>
      <c r="J38" s="1">
        <v>34236</v>
      </c>
      <c r="K38" s="1">
        <v>194216</v>
      </c>
      <c r="L38" s="1">
        <v>136035</v>
      </c>
      <c r="M38" s="1">
        <v>47601</v>
      </c>
      <c r="N38" s="1">
        <v>530.94399999999996</v>
      </c>
    </row>
    <row r="39" spans="1:14" x14ac:dyDescent="0.3">
      <c r="A39" s="1">
        <v>37</v>
      </c>
      <c r="B39" s="1">
        <v>5</v>
      </c>
      <c r="C39" s="1">
        <v>3</v>
      </c>
      <c r="D39" s="1">
        <v>221.43799999999999</v>
      </c>
      <c r="E39" s="1">
        <v>111.392</v>
      </c>
      <c r="F39" s="1">
        <v>51.198999999999998</v>
      </c>
      <c r="G39" s="1">
        <v>124.66</v>
      </c>
      <c r="H39" s="1">
        <v>157.5</v>
      </c>
      <c r="I39" s="1">
        <v>529</v>
      </c>
      <c r="J39" s="1">
        <v>39964</v>
      </c>
      <c r="K39" s="1">
        <v>136119</v>
      </c>
      <c r="L39" s="1">
        <v>66745</v>
      </c>
      <c r="M39" s="1">
        <v>31031</v>
      </c>
      <c r="N39" s="1">
        <v>333.35899999999998</v>
      </c>
    </row>
    <row r="40" spans="1:14" x14ac:dyDescent="0.3">
      <c r="A40" s="1">
        <v>38</v>
      </c>
      <c r="B40" s="1">
        <v>5</v>
      </c>
      <c r="C40" s="1">
        <v>4</v>
      </c>
      <c r="D40" s="1">
        <v>193.95699999999999</v>
      </c>
      <c r="E40" s="1">
        <v>111.85899999999999</v>
      </c>
      <c r="F40" s="1">
        <v>47.001999999999903</v>
      </c>
      <c r="G40" s="1">
        <v>99.891999999999996</v>
      </c>
      <c r="H40" s="1">
        <v>159.46199999999999</v>
      </c>
      <c r="I40" s="1">
        <v>540</v>
      </c>
      <c r="J40" s="1">
        <v>59179</v>
      </c>
      <c r="K40" s="1">
        <v>94460</v>
      </c>
      <c r="L40" s="1">
        <v>54772</v>
      </c>
      <c r="M40" s="1">
        <v>34616</v>
      </c>
      <c r="N40" s="1">
        <v>306.35599999999999</v>
      </c>
    </row>
    <row r="41" spans="1:14" x14ac:dyDescent="0.3">
      <c r="A41" s="1">
        <v>39</v>
      </c>
      <c r="B41" s="1">
        <v>1</v>
      </c>
      <c r="C41" s="1">
        <v>6</v>
      </c>
      <c r="D41" s="1">
        <v>275.075999999999</v>
      </c>
      <c r="E41" s="1">
        <v>121.697</v>
      </c>
      <c r="F41" s="1">
        <v>109.887999999999</v>
      </c>
      <c r="G41" s="1">
        <v>131.16499999999999</v>
      </c>
      <c r="H41" s="1">
        <v>175.77699999999999</v>
      </c>
      <c r="I41" s="1">
        <v>20.056999999999999</v>
      </c>
      <c r="J41" s="1">
        <v>37906</v>
      </c>
      <c r="K41" s="1">
        <v>138536</v>
      </c>
      <c r="L41" s="1">
        <v>85378</v>
      </c>
      <c r="M41" s="1">
        <v>14020</v>
      </c>
      <c r="N41" s="1">
        <v>416.83</v>
      </c>
    </row>
    <row r="42" spans="1:14" x14ac:dyDescent="0.3">
      <c r="A42" s="1">
        <v>40</v>
      </c>
      <c r="B42" s="1">
        <v>2</v>
      </c>
      <c r="C42" s="1">
        <v>2</v>
      </c>
      <c r="D42" s="1">
        <v>252.298</v>
      </c>
      <c r="E42" s="1">
        <v>150.708</v>
      </c>
      <c r="F42" s="1">
        <v>77.388000000000005</v>
      </c>
      <c r="G42" s="1">
        <v>154.863</v>
      </c>
      <c r="H42" s="1">
        <v>182.93599999999901</v>
      </c>
      <c r="I42" s="1">
        <v>12.180999999999999</v>
      </c>
      <c r="J42" s="1">
        <v>32133</v>
      </c>
      <c r="K42" s="1">
        <v>69093</v>
      </c>
      <c r="L42" s="1">
        <v>169088</v>
      </c>
      <c r="M42" s="1">
        <v>12516</v>
      </c>
      <c r="N42" s="1">
        <v>415.18699999999899</v>
      </c>
    </row>
    <row r="43" spans="1:14" x14ac:dyDescent="0.3">
      <c r="A43" s="1">
        <v>41</v>
      </c>
      <c r="B43" s="1">
        <v>2</v>
      </c>
      <c r="C43" s="1">
        <v>3</v>
      </c>
      <c r="D43" s="1">
        <v>165.47200000000001</v>
      </c>
      <c r="E43" s="1">
        <v>102.53</v>
      </c>
      <c r="F43" s="1">
        <v>46.295000000000002</v>
      </c>
      <c r="G43" s="1">
        <v>96.87</v>
      </c>
      <c r="H43" s="1">
        <v>124.837</v>
      </c>
      <c r="I43" s="1">
        <v>0</v>
      </c>
      <c r="J43" s="1">
        <v>48458</v>
      </c>
      <c r="K43" s="1">
        <v>43112</v>
      </c>
      <c r="L43" s="1">
        <v>72840</v>
      </c>
      <c r="M43" s="1">
        <v>11304</v>
      </c>
      <c r="N43" s="1">
        <v>268.00200000000001</v>
      </c>
    </row>
    <row r="44" spans="1:14" x14ac:dyDescent="0.3">
      <c r="A44" s="1">
        <v>42</v>
      </c>
      <c r="B44" s="1">
        <v>2</v>
      </c>
      <c r="C44" s="1">
        <v>4</v>
      </c>
      <c r="D44" s="1">
        <v>126.03</v>
      </c>
      <c r="E44" s="1">
        <v>108.05500000000001</v>
      </c>
      <c r="F44" s="1">
        <v>53.366</v>
      </c>
      <c r="G44" s="1">
        <v>69.150000000000006</v>
      </c>
      <c r="H44" s="1">
        <v>111.98699999999999</v>
      </c>
      <c r="I44" s="1">
        <v>418</v>
      </c>
      <c r="J44" s="1">
        <v>42201</v>
      </c>
      <c r="K44" s="1">
        <v>13736</v>
      </c>
      <c r="L44" s="1">
        <v>70191</v>
      </c>
      <c r="M44" s="1">
        <v>16710</v>
      </c>
      <c r="N44" s="1">
        <v>234.50299999999999</v>
      </c>
    </row>
    <row r="45" spans="1:14" x14ac:dyDescent="0.3">
      <c r="A45" s="1">
        <v>43</v>
      </c>
      <c r="B45" s="1">
        <v>2</v>
      </c>
      <c r="C45" s="1">
        <v>5</v>
      </c>
      <c r="D45" s="1">
        <v>112.246</v>
      </c>
      <c r="E45" s="1">
        <v>106.64100000000001</v>
      </c>
      <c r="F45" s="1">
        <v>47.398999999999901</v>
      </c>
      <c r="G45" s="1">
        <v>77.61</v>
      </c>
      <c r="H45" s="1">
        <v>109.715</v>
      </c>
      <c r="I45" s="1">
        <v>15.837</v>
      </c>
      <c r="J45" s="1">
        <v>35316</v>
      </c>
      <c r="K45" s="1">
        <v>25876</v>
      </c>
      <c r="L45" s="1">
        <v>38646</v>
      </c>
      <c r="M45" s="1">
        <v>13989</v>
      </c>
      <c r="N45" s="1">
        <v>234.72399999999999</v>
      </c>
    </row>
    <row r="46" spans="1:14" x14ac:dyDescent="0.3">
      <c r="A46" s="1">
        <v>44</v>
      </c>
      <c r="B46" s="1">
        <v>2</v>
      </c>
      <c r="C46" s="1">
        <v>6</v>
      </c>
      <c r="D46" s="1">
        <v>123.30200000000001</v>
      </c>
      <c r="E46" s="1">
        <v>94.314999999999998</v>
      </c>
      <c r="F46" s="1">
        <v>48.081000000000003</v>
      </c>
      <c r="G46" s="1">
        <v>72.825999999999993</v>
      </c>
      <c r="H46" s="1">
        <v>109.157</v>
      </c>
      <c r="I46" s="1">
        <v>12.446999999999999</v>
      </c>
      <c r="J46" s="1">
        <v>43284</v>
      </c>
      <c r="K46" s="1">
        <v>30138</v>
      </c>
      <c r="L46" s="1">
        <v>52112</v>
      </c>
      <c r="M46" s="1">
        <v>12632</v>
      </c>
      <c r="N46" s="1">
        <v>230.06399999999999</v>
      </c>
    </row>
    <row r="47" spans="1:14" x14ac:dyDescent="0.3">
      <c r="A47" s="1">
        <v>45</v>
      </c>
      <c r="B47" s="1">
        <v>3</v>
      </c>
      <c r="C47" s="1">
        <v>2</v>
      </c>
      <c r="D47" s="1">
        <v>187.81</v>
      </c>
      <c r="E47" s="1">
        <v>167.45500000000001</v>
      </c>
      <c r="F47" s="1">
        <v>59.042000000000002</v>
      </c>
      <c r="G47" s="1">
        <v>130.09799999999899</v>
      </c>
      <c r="H47" s="1">
        <v>168.25399999999999</v>
      </c>
      <c r="I47" s="1">
        <v>2.129</v>
      </c>
      <c r="J47" s="1">
        <v>37817</v>
      </c>
      <c r="K47" s="1">
        <v>36445</v>
      </c>
      <c r="L47" s="1">
        <v>103567</v>
      </c>
      <c r="M47" s="1">
        <v>10443</v>
      </c>
      <c r="N47" s="1">
        <v>357.39400000000001</v>
      </c>
    </row>
    <row r="48" spans="1:14" x14ac:dyDescent="0.3">
      <c r="A48" s="1">
        <v>46</v>
      </c>
      <c r="B48" s="1">
        <v>3</v>
      </c>
      <c r="C48" s="1">
        <v>3</v>
      </c>
      <c r="D48" s="1">
        <v>119.863</v>
      </c>
      <c r="E48" s="1">
        <v>139.38299999999899</v>
      </c>
      <c r="F48" s="1">
        <v>44.808999999999997</v>
      </c>
      <c r="G48" s="1">
        <v>99.072000000000003</v>
      </c>
      <c r="H48" s="1">
        <v>115.36499999999999</v>
      </c>
      <c r="I48" s="1">
        <v>0</v>
      </c>
      <c r="J48" s="1">
        <v>54584</v>
      </c>
      <c r="K48" s="1">
        <v>17242</v>
      </c>
      <c r="L48" s="1">
        <v>59231</v>
      </c>
      <c r="M48" s="1">
        <v>12543</v>
      </c>
      <c r="N48" s="1">
        <v>259.24599999999998</v>
      </c>
    </row>
    <row r="49" spans="1:14" x14ac:dyDescent="0.3">
      <c r="A49" s="1">
        <v>47</v>
      </c>
      <c r="B49" s="1">
        <v>3</v>
      </c>
      <c r="C49" s="1">
        <v>4</v>
      </c>
      <c r="D49" s="1">
        <v>127.80500000000001</v>
      </c>
      <c r="E49" s="1">
        <v>114.81299999999899</v>
      </c>
      <c r="F49" s="1">
        <v>39.024999999999999</v>
      </c>
      <c r="G49" s="1">
        <v>110.74</v>
      </c>
      <c r="H49" s="1">
        <v>94.47</v>
      </c>
      <c r="I49" s="1">
        <v>1.617</v>
      </c>
      <c r="J49" s="1">
        <v>33366</v>
      </c>
      <c r="K49" s="1">
        <v>21103</v>
      </c>
      <c r="L49" s="1">
        <v>84558</v>
      </c>
      <c r="M49" s="1">
        <v>16683</v>
      </c>
      <c r="N49" s="1">
        <v>244.23500000000001</v>
      </c>
    </row>
    <row r="50" spans="1:14" x14ac:dyDescent="0.3">
      <c r="A50" s="1">
        <v>48</v>
      </c>
      <c r="B50" s="1">
        <v>3</v>
      </c>
      <c r="C50" s="1">
        <v>5</v>
      </c>
      <c r="D50" s="1">
        <v>120.628999999999</v>
      </c>
      <c r="E50" s="1">
        <v>112.70299999999899</v>
      </c>
      <c r="F50" s="1">
        <v>39.6</v>
      </c>
      <c r="G50" s="1">
        <v>240.922</v>
      </c>
      <c r="H50" s="1">
        <v>122.08499999999999</v>
      </c>
      <c r="I50" s="1">
        <v>169.27500000000001</v>
      </c>
      <c r="J50" s="1">
        <v>37387</v>
      </c>
      <c r="K50" s="1">
        <v>20246</v>
      </c>
      <c r="L50" s="1">
        <v>63778</v>
      </c>
      <c r="M50" s="1">
        <v>13886</v>
      </c>
      <c r="N50" s="1">
        <v>402.606999999999</v>
      </c>
    </row>
    <row r="51" spans="1:14" x14ac:dyDescent="0.3">
      <c r="A51" s="1">
        <v>49</v>
      </c>
      <c r="B51" s="1">
        <v>3</v>
      </c>
      <c r="C51" s="1">
        <v>6</v>
      </c>
      <c r="D51" s="1">
        <v>130.465</v>
      </c>
      <c r="E51" s="1">
        <v>105.273</v>
      </c>
      <c r="F51" s="1">
        <v>57.466999999999999</v>
      </c>
      <c r="G51" s="1">
        <v>88.462000000000003</v>
      </c>
      <c r="H51" s="1">
        <v>109.13200000000001</v>
      </c>
      <c r="I51" s="1">
        <v>19.323</v>
      </c>
      <c r="J51" s="1">
        <v>27200</v>
      </c>
      <c r="K51" s="1">
        <v>41713</v>
      </c>
      <c r="L51" s="1">
        <v>59513</v>
      </c>
      <c r="M51" s="1">
        <v>12260</v>
      </c>
      <c r="N51" s="1">
        <v>255.06099999999901</v>
      </c>
    </row>
    <row r="52" spans="1:14" x14ac:dyDescent="0.3">
      <c r="A52" s="1">
        <v>50</v>
      </c>
      <c r="B52" s="1">
        <v>4</v>
      </c>
      <c r="C52" s="1">
        <v>2</v>
      </c>
      <c r="D52" s="1">
        <v>222.28200000000001</v>
      </c>
      <c r="E52" s="1">
        <v>120.324</v>
      </c>
      <c r="F52" s="1">
        <v>41.417999999999999</v>
      </c>
      <c r="G52" s="1">
        <v>135.18899999999999</v>
      </c>
      <c r="H52" s="1">
        <v>165.999</v>
      </c>
      <c r="I52" s="1">
        <v>0</v>
      </c>
      <c r="J52" s="1">
        <v>39446</v>
      </c>
      <c r="K52" s="1">
        <v>29290</v>
      </c>
      <c r="L52" s="1">
        <v>154144</v>
      </c>
      <c r="M52" s="1">
        <v>10811</v>
      </c>
      <c r="N52" s="1">
        <v>342.60599999999999</v>
      </c>
    </row>
    <row r="53" spans="1:14" x14ac:dyDescent="0.3">
      <c r="A53" s="1">
        <v>51</v>
      </c>
      <c r="B53" s="1">
        <v>4</v>
      </c>
      <c r="C53" s="1">
        <v>3</v>
      </c>
      <c r="D53" s="1">
        <v>150.25700000000001</v>
      </c>
      <c r="E53" s="1">
        <v>116.959</v>
      </c>
      <c r="F53" s="1">
        <v>34.192999999999998</v>
      </c>
      <c r="G53" s="1">
        <v>115.536</v>
      </c>
      <c r="H53" s="1">
        <v>118.911</v>
      </c>
      <c r="I53" s="1">
        <v>1.4239999999999999</v>
      </c>
      <c r="J53" s="1">
        <v>51346</v>
      </c>
      <c r="K53" s="1">
        <v>19782</v>
      </c>
      <c r="L53" s="1">
        <v>89704</v>
      </c>
      <c r="M53" s="1">
        <v>12182</v>
      </c>
      <c r="N53" s="1">
        <v>268.64</v>
      </c>
    </row>
    <row r="54" spans="1:14" x14ac:dyDescent="0.3">
      <c r="A54" s="1">
        <v>52</v>
      </c>
      <c r="B54" s="1">
        <v>4</v>
      </c>
      <c r="C54" s="1">
        <v>4</v>
      </c>
      <c r="D54" s="1">
        <v>96.494</v>
      </c>
      <c r="E54" s="1">
        <v>87.293999999999997</v>
      </c>
      <c r="F54" s="1">
        <v>32.652999999999999</v>
      </c>
      <c r="G54" s="1">
        <v>81.575999999999993</v>
      </c>
      <c r="H54" s="1">
        <v>74.372</v>
      </c>
      <c r="I54" s="1">
        <v>4.8129999999999997</v>
      </c>
      <c r="J54" s="1">
        <v>34631</v>
      </c>
      <c r="K54" s="1">
        <v>22420</v>
      </c>
      <c r="L54" s="1">
        <v>49644</v>
      </c>
      <c r="M54" s="1">
        <v>15390</v>
      </c>
      <c r="N54" s="1">
        <v>188.601</v>
      </c>
    </row>
    <row r="55" spans="1:14" x14ac:dyDescent="0.3">
      <c r="A55" s="1">
        <v>53</v>
      </c>
      <c r="B55" s="1">
        <v>4</v>
      </c>
      <c r="C55" s="1">
        <v>5</v>
      </c>
      <c r="D55" s="1">
        <v>89.525999999999996</v>
      </c>
      <c r="E55" s="1">
        <v>99.756</v>
      </c>
      <c r="F55" s="1">
        <v>51.984999999999999</v>
      </c>
      <c r="G55" s="1">
        <v>51.93</v>
      </c>
      <c r="H55" s="1">
        <v>98.106999999999999</v>
      </c>
      <c r="I55" s="1">
        <v>12.74</v>
      </c>
      <c r="J55" s="1">
        <v>31850</v>
      </c>
      <c r="K55" s="1">
        <v>32150</v>
      </c>
      <c r="L55" s="1">
        <v>21573</v>
      </c>
      <c r="M55" s="1">
        <v>13807</v>
      </c>
      <c r="N55" s="1">
        <v>202.02199999999999</v>
      </c>
    </row>
    <row r="56" spans="1:14" x14ac:dyDescent="0.3">
      <c r="A56" s="1">
        <v>54</v>
      </c>
      <c r="B56" s="1">
        <v>4</v>
      </c>
      <c r="C56" s="1">
        <v>6</v>
      </c>
      <c r="D56" s="1">
        <v>134.42500000000001</v>
      </c>
      <c r="E56" s="1">
        <v>79.084000000000003</v>
      </c>
      <c r="F56" s="1">
        <v>36.747999999999998</v>
      </c>
      <c r="G56" s="1">
        <v>71.352999999999994</v>
      </c>
      <c r="H56" s="1">
        <v>105.40799999999901</v>
      </c>
      <c r="I56" s="1">
        <v>0</v>
      </c>
      <c r="J56" s="1">
        <v>33970</v>
      </c>
      <c r="K56" s="1">
        <v>28701</v>
      </c>
      <c r="L56" s="1">
        <v>65199</v>
      </c>
      <c r="M56" s="1">
        <v>11023</v>
      </c>
      <c r="N56" s="1">
        <v>213.50899999999999</v>
      </c>
    </row>
    <row r="57" spans="1:14" x14ac:dyDescent="0.3">
      <c r="A57" s="1">
        <v>55</v>
      </c>
      <c r="B57" s="1">
        <v>5</v>
      </c>
      <c r="C57" s="1">
        <v>2</v>
      </c>
      <c r="D57" s="1">
        <v>158.71600000000001</v>
      </c>
      <c r="E57" s="1">
        <v>158.13299999999899</v>
      </c>
      <c r="F57" s="1">
        <v>59.131</v>
      </c>
      <c r="G57" s="1">
        <v>92.638999999999996</v>
      </c>
      <c r="H57" s="1">
        <v>165.07900000000001</v>
      </c>
      <c r="I57" s="1">
        <v>0</v>
      </c>
      <c r="J57" s="1">
        <v>32027</v>
      </c>
      <c r="K57" s="1">
        <v>33282</v>
      </c>
      <c r="L57" s="1">
        <v>128269</v>
      </c>
      <c r="M57" s="1">
        <v>9287</v>
      </c>
      <c r="N57" s="1">
        <v>316.84899999999999</v>
      </c>
    </row>
    <row r="58" spans="1:14" x14ac:dyDescent="0.3">
      <c r="A58" s="1">
        <v>56</v>
      </c>
      <c r="B58" s="1">
        <v>5</v>
      </c>
      <c r="C58" s="1">
        <v>3</v>
      </c>
      <c r="D58" s="1">
        <v>150.78399999999999</v>
      </c>
      <c r="E58" s="1">
        <v>133.06899999999999</v>
      </c>
      <c r="F58" s="1">
        <v>54.223999999999997</v>
      </c>
      <c r="G58" s="1">
        <v>115.746</v>
      </c>
      <c r="H58" s="1">
        <v>116.44199999999999</v>
      </c>
      <c r="I58" s="1">
        <v>2.5590000000000002</v>
      </c>
      <c r="J58" s="1">
        <v>51235</v>
      </c>
      <c r="K58" s="1">
        <v>34421</v>
      </c>
      <c r="L58" s="1">
        <v>87708</v>
      </c>
      <c r="M58" s="1">
        <v>11354</v>
      </c>
      <c r="N58" s="1">
        <v>286.41199999999998</v>
      </c>
    </row>
    <row r="59" spans="1:14" x14ac:dyDescent="0.3">
      <c r="A59" s="1">
        <v>57</v>
      </c>
      <c r="B59" s="1">
        <v>5</v>
      </c>
      <c r="C59" s="1">
        <v>4</v>
      </c>
      <c r="D59" s="1">
        <v>193.53399999999999</v>
      </c>
      <c r="E59" s="1">
        <v>109.639</v>
      </c>
      <c r="F59" s="1">
        <v>58.378</v>
      </c>
      <c r="G59" s="1">
        <v>142.38200000000001</v>
      </c>
      <c r="H59" s="1">
        <v>102.687</v>
      </c>
      <c r="I59" s="1">
        <v>274</v>
      </c>
      <c r="J59" s="1">
        <v>28364</v>
      </c>
      <c r="K59" s="1">
        <v>88404</v>
      </c>
      <c r="L59" s="1">
        <v>91367</v>
      </c>
      <c r="M59" s="1">
        <v>15003</v>
      </c>
      <c r="N59" s="1">
        <v>303.447</v>
      </c>
    </row>
    <row r="60" spans="1:14" x14ac:dyDescent="0.3">
      <c r="A60" s="1">
        <v>58</v>
      </c>
      <c r="B60" s="1">
        <v>5</v>
      </c>
      <c r="C60" s="1">
        <v>5</v>
      </c>
      <c r="D60" s="1">
        <v>196.55500000000001</v>
      </c>
      <c r="E60" s="1">
        <v>108.395</v>
      </c>
      <c r="F60" s="1">
        <v>76.763000000000005</v>
      </c>
      <c r="G60" s="1">
        <v>96.477999999999994</v>
      </c>
      <c r="H60" s="1">
        <v>131.709</v>
      </c>
      <c r="I60" s="1">
        <v>0</v>
      </c>
      <c r="J60" s="1">
        <v>37011</v>
      </c>
      <c r="K60" s="1">
        <v>109931</v>
      </c>
      <c r="L60" s="1">
        <v>50112</v>
      </c>
      <c r="M60" s="1">
        <v>12957</v>
      </c>
      <c r="N60" s="1">
        <v>304.95</v>
      </c>
    </row>
    <row r="61" spans="1:14" x14ac:dyDescent="0.3">
      <c r="A61" s="1">
        <v>59</v>
      </c>
      <c r="B61" s="1">
        <v>5</v>
      </c>
      <c r="C61" s="1">
        <v>6</v>
      </c>
      <c r="D61" s="1">
        <v>192.11599999999899</v>
      </c>
      <c r="E61" s="1">
        <v>121.10599999999999</v>
      </c>
      <c r="F61" s="1">
        <v>107.568</v>
      </c>
      <c r="G61" s="1">
        <v>121.152</v>
      </c>
      <c r="H61" s="1">
        <v>103.18</v>
      </c>
      <c r="I61" s="1">
        <v>18.678000000000001</v>
      </c>
      <c r="J61" s="1">
        <v>27328</v>
      </c>
      <c r="K61" s="1">
        <v>108072</v>
      </c>
      <c r="L61" s="1">
        <v>56015</v>
      </c>
      <c r="M61" s="1">
        <v>10690</v>
      </c>
      <c r="N61" s="1">
        <v>331.9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Interpretation</vt:lpstr>
      <vt:lpstr>Analysis</vt:lpstr>
      <vt:lpstr>Data Moldel</vt:lpstr>
      <vt:lpstr>Daily Demand Forecasting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Ayyala</dc:creator>
  <cp:lastModifiedBy>Apoorva Ayyala</cp:lastModifiedBy>
  <dcterms:created xsi:type="dcterms:W3CDTF">2026-03-09T12:26:35Z</dcterms:created>
  <dcterms:modified xsi:type="dcterms:W3CDTF">2026-07-05T03:44:06Z</dcterms:modified>
</cp:coreProperties>
</file>